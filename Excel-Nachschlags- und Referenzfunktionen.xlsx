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Zusammenfassung" sheetId="1" r:id="rId5"/>
    <sheet name="Start" sheetId="2" r:id="rId6"/>
    <sheet name="Stammdaten_Artikel" sheetId="3" r:id="rId7"/>
    <sheet name="Stammdaten_Mitarbeiter" sheetId="4" r:id="rId8"/>
    <sheet name="Bestellungen" sheetId="5" r:id="rId9"/>
    <sheet name="01_SVERWEIS_WVERWEIS" sheetId="6" r:id="rId10"/>
    <sheet name="02_INDEX_VERGLEICH" sheetId="7" r:id="rId11"/>
    <sheet name="03_XVERWEIS_XVERGLEICH" sheetId="8" r:id="rId12"/>
    <sheet name="04_Dynamische_Arrays" sheetId="9" r:id="rId13"/>
    <sheet name="Loesungen" sheetId="10" r:id="rId14"/>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<sst xmlns="http://schemas.openxmlformats.org/spreadsheetml/2006/main" uniqueCount="358">
  <si>
    <t>Dieses Dokument wurde aus Numbers exportiert und jede Tabelle in ein Excel-Arbeitsblatt umgewandelt. Alle anderen Objekte der einzelnen Numbers-Blätter wurden auf eigene Arbeitsblätter übertragen. Beachte, dass die Formelberechnungen in Excel möglicherweise anders sind.</t>
  </si>
  <si>
    <t>Name des Numbers-Blatts</t>
  </si>
  <si>
    <t>Numbers-Tabellenname</t>
  </si>
  <si>
    <t>Name des Excel-Arbeitsblatts</t>
  </si>
  <si>
    <t>Start</t>
  </si>
  <si>
    <t>Tabelle 1</t>
  </si>
  <si>
    <t>Uebungsdatei: Stufe 4 - Nachschlage- und Referenzfunktionen</t>
  </si>
  <si>
    <t>Diese Datei begleitet Stufe 4 deines Excel-Lernplans: SVERWEIS/WVERWEIS, INDEX/VERGLEICH, XVERWEIS/XVERGLEICH und die dynamischen Array-Funktionen FILTER, SORTIEREN, EINDEUTIG und SEQUENZ.</t>
  </si>
  <si>
    <t>Aufbau der Datei</t>
  </si>
  <si>
    <t>Stammdaten_Artikel</t>
  </si>
  <si>
    <t>Stammdatentabelle: 20 Artikel mit Kategorie, Lieferant, Preis, Lagerort.</t>
  </si>
  <si>
    <t>Stammdaten_Mitarbeiter</t>
  </si>
  <si>
    <t>Stammdatentabelle: 10 Mitarbeitende mit Abteilung und Stundensatz.</t>
  </si>
  <si>
    <t>Bestellungen</t>
  </si>
  <si>
    <t>Bewegungsdaten: 40 Bestellungen, die in allen Uebungen per Lookup mit den Stammdaten verknuepft werden.</t>
  </si>
  <si>
    <t>01_SVERWEIS_WVERWEIS</t>
  </si>
  <si>
    <t>SVERWEIS (exakt und mit Staffeltabelle) sowie WVERWEIS auf eine Quartalstabelle.</t>
  </si>
  <si>
    <t>02_INDEX_VERGLEICH</t>
  </si>
  <si>
    <t>INDEX/VERGLEICH als SVERWEIS-Ersatz und als Loesung fuer die Suche nach links.</t>
  </si>
  <si>
    <t>03_XVERWEIS_XVERGLEICH</t>
  </si>
  <si>
    <t>XVERWEIS als moderner Ersatz, der Parameter wenn_nicht_gefunden, Suchmodus -1.</t>
  </si>
  <si>
    <t>04_Dynamische_Arrays</t>
  </si>
  <si>
    <t>EINDEUTIG, FILTER, SORTIEREN (kombiniert) und SEQUENZ.</t>
  </si>
  <si>
    <t>Loesungen</t>
  </si>
  <si>
    <t>Alle Loesungsformeln zu den Uebungszellen, als Text hinterlegt.</t>
  </si>
  <si>
    <t>Farblegende</t>
  </si>
  <si>
    <t>Fertige Beispielformel - schau sie dir an und verstehe, wie sie aufgebaut ist.</t>
  </si>
  <si>
    <t>Deine Uebung - hier sollst du selbst eine Formel eintippen.</t>
  </si>
  <si>
    <t>Eingabezelle - hier kannst du den Suchwert aendern und beobachten, was passiert.</t>
  </si>
  <si>
    <t>Tipp</t>
  </si>
  <si>
    <t>Aendere zum Test eine Artikel-ID oder einen Namen in den Stammdaten - alle Formeln in den Uebungsblaettern aktualisieren sich automatisch. Bei den dynamischen Array-Funktionen (Blatt 04) brauchen die Zellen rechts und unterhalb der Formel Platz zum 'Verteilen' (Spill) - lass sie leer.</t>
  </si>
  <si>
    <t>Stammdaten: Artikel</t>
  </si>
  <si>
    <t>Diese Tabelle ist die Stammdatentabelle fuer alle Nachschlage-Uebungen. Bitte Struktur nicht veraendern (Spaltenreihenfolge wird in den Formeln referenziert).</t>
  </si>
  <si>
    <t>Artikel-ID</t>
  </si>
  <si>
    <t>Artikelname</t>
  </si>
  <si>
    <t>Kategorie</t>
  </si>
  <si>
    <t>Lieferant</t>
  </si>
  <si>
    <t>Einkaufspreis (EUR)</t>
  </si>
  <si>
    <t>Lagerort</t>
  </si>
  <si>
    <t>A001</t>
  </si>
  <si>
    <t>Laptop 14 Zoll</t>
  </si>
  <si>
    <t>Elektronik</t>
  </si>
  <si>
    <t>TechSupply GmbH</t>
  </si>
  <si>
    <t>Lager A1</t>
  </si>
  <si>
    <t>A002</t>
  </si>
  <si>
    <t>Monitor 24 Zoll</t>
  </si>
  <si>
    <t>A003</t>
  </si>
  <si>
    <t>Tastatur kabellos</t>
  </si>
  <si>
    <t>A004</t>
  </si>
  <si>
    <t>Maus optisch</t>
  </si>
  <si>
    <t>A005</t>
  </si>
  <si>
    <t>USB-C Kabel</t>
  </si>
  <si>
    <t>IT-Zubehoer</t>
  </si>
  <si>
    <t>KabelPro AG</t>
  </si>
  <si>
    <t>Lager A2</t>
  </si>
  <si>
    <t>A006</t>
  </si>
  <si>
    <t>Headset</t>
  </si>
  <si>
    <t>A007</t>
  </si>
  <si>
    <t>Druckerpapier A4</t>
  </si>
  <si>
    <t>Bueromaterial</t>
  </si>
  <si>
    <t>PaperPlus KG</t>
  </si>
  <si>
    <t>Lager B1</t>
  </si>
  <si>
    <t>A008</t>
  </si>
  <si>
    <t>Kugelschreiber</t>
  </si>
  <si>
    <t>A009</t>
  </si>
  <si>
    <t>Ordner A4</t>
  </si>
  <si>
    <t>A010</t>
  </si>
  <si>
    <t>Aktenvernichter</t>
  </si>
  <si>
    <t>OfficeTech GmbH</t>
  </si>
  <si>
    <t>Lager B2</t>
  </si>
  <si>
    <t>A011</t>
  </si>
  <si>
    <t>Bohrmaschine</t>
  </si>
  <si>
    <t>Werkzeug</t>
  </si>
  <si>
    <t>WerkzeugWelt AG</t>
  </si>
  <si>
    <t>Lager C1</t>
  </si>
  <si>
    <t>A012</t>
  </si>
  <si>
    <t>Schraubendreher-Set</t>
  </si>
  <si>
    <t>A013</t>
  </si>
  <si>
    <t>Schutzbrille</t>
  </si>
  <si>
    <t>SafetyFirst GmbH</t>
  </si>
  <si>
    <t>A014</t>
  </si>
  <si>
    <t>Arbeitshandschuhe</t>
  </si>
  <si>
    <t>A015</t>
  </si>
  <si>
    <t>Kartonbox klein</t>
  </si>
  <si>
    <t>Verpackung</t>
  </si>
  <si>
    <t>PackIt GmbH</t>
  </si>
  <si>
    <t>Lager D1</t>
  </si>
  <si>
    <t>A016</t>
  </si>
  <si>
    <t>Kartonbox gross</t>
  </si>
  <si>
    <t>A017</t>
  </si>
  <si>
    <t>Klebeband</t>
  </si>
  <si>
    <t>A018</t>
  </si>
  <si>
    <t>Luftpolsterfolie</t>
  </si>
  <si>
    <t>Lager D2</t>
  </si>
  <si>
    <t>A019</t>
  </si>
  <si>
    <t>Docking Station</t>
  </si>
  <si>
    <t>A020</t>
  </si>
  <si>
    <t>Webcam</t>
  </si>
  <si>
    <t>Stammdaten: Mitarbeiter</t>
  </si>
  <si>
    <t>Zweite Stammdatentabelle - wird fuer Lookup-Uebungen mit Bearbeiter-Zuordnung verwendet.</t>
  </si>
  <si>
    <t>Mitarbeiter-ID</t>
  </si>
  <si>
    <t>Name</t>
  </si>
  <si>
    <t>Abteilung</t>
  </si>
  <si>
    <t>Stundensatz (EUR)</t>
  </si>
  <si>
    <t>M01</t>
  </si>
  <si>
    <t>Anna Berger</t>
  </si>
  <si>
    <t>Einkauf</t>
  </si>
  <si>
    <t>M02</t>
  </si>
  <si>
    <t>Jonas Wolf</t>
  </si>
  <si>
    <t>M03</t>
  </si>
  <si>
    <t>Lea Hofmann</t>
  </si>
  <si>
    <t>Logistik</t>
  </si>
  <si>
    <t>M04</t>
  </si>
  <si>
    <t>Tim Schreiber</t>
  </si>
  <si>
    <t>M05</t>
  </si>
  <si>
    <t>Mara Vogel</t>
  </si>
  <si>
    <t>Lager</t>
  </si>
  <si>
    <t>M06</t>
  </si>
  <si>
    <t>Felix Krause</t>
  </si>
  <si>
    <t>M07</t>
  </si>
  <si>
    <t>Nina Albrecht</t>
  </si>
  <si>
    <t>Qualitaetssicherung</t>
  </si>
  <si>
    <t>M08</t>
  </si>
  <si>
    <t>Paul Lehmann</t>
  </si>
  <si>
    <t>M09</t>
  </si>
  <si>
    <t>Sara Engel</t>
  </si>
  <si>
    <t>Versand</t>
  </si>
  <si>
    <t>M10</t>
  </si>
  <si>
    <t>David Kuhn</t>
  </si>
  <si>
    <t>Bewegungsdaten: Bestellungen Q1 2026</t>
  </si>
  <si>
    <t>Rohdaten ohne Formeln - dies ist die Bewegungstabelle, mit der in den Uebungssheets gearbeitet wird (SVERWEIS, XVERWEIS, FILTER usw. holen sich Werte aus dieser Tabelle und aus den Stammdaten).</t>
  </si>
  <si>
    <t>Bestell-ID</t>
  </si>
  <si>
    <t>Bestelldatum</t>
  </si>
  <si>
    <t>Menge</t>
  </si>
  <si>
    <t>Status</t>
  </si>
  <si>
    <t>Lieferzeit_Tage</t>
  </si>
  <si>
    <t>B001</t>
  </si>
  <si>
    <t>Geliefert</t>
  </si>
  <si>
    <t>B002</t>
  </si>
  <si>
    <t>Verzoegert</t>
  </si>
  <si>
    <t>B003</t>
  </si>
  <si>
    <t>B004</t>
  </si>
  <si>
    <t>Storniert</t>
  </si>
  <si>
    <t>B005</t>
  </si>
  <si>
    <t>Offen</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</si>
  <si>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</si>
  <si>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</si>
  <si>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</si>
  <si>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</si>
  <si>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</si>
  <si>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</si>
  <si>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</si>
  <si>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</si>
  <si>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</si>
  <si>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</si>
  <si>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</si>
  <si>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</si>
  <si>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</si>
  <si>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</si>
  <si>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</si>
  <si>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</si>
  <si>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</si>
  <si>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</si>
  <si>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</si>
  <si>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</si>
  <si>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</si>
  <si>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</si>
  <si>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</si>
  <si>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</si>
  <si>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</si>
  <si>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</si>
  <si>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</si>
  <si>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</si>
  <si>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</si>
  <si>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</si>
  <si>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</si>
  <si>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</si>
  <si>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</si>
  <si>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</si>
  <si>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</si>
  <si>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01 | SVERWEIS und WVERWEIS</t>
  </si>
  <si>
    <t>Gruen hinterlegte Zellen zeigen eine fertige Beispielformel. Gelb hinterlegte Zellen (mit dem Symbol Uebung) sind fuer dich: trage dort deine eigene Formel ein. Die Loesungen findest du im Tabellenblatt 'Loesungen'.</t>
  </si>
  <si>
    <t>A) SVERWEIS - exakte Uebereinstimmung (Bereich_Verweis = FALSCH)</t>
  </si>
  <si>
    <t>Aufgabe: Hole aus den Artikel-Stammdaten Artikelname, Kategorie und Lieferant zur jeweiligen Artikel-ID. Spalte D ist komplett vorgeloest, Spalte E zeigt dir nur die erste Zeile, Spalte F ist komplett deine Uebung.</t>
  </si>
  <si>
    <t>Artikelname (SVERWEIS)</t>
  </si>
  <si>
    <t>Kategorie (SVERWEIS)</t>
  </si>
  <si>
    <t>Lieferant (Uebung)</t>
  </si>
  <si>
    <t>Rabatt (Staffel-SVERWEIS)</t>
  </si>
  <si>
    <t>Mindestmenge</t>
  </si>
  <si>
    <t>Rabatt</t>
  </si>
  <si>
    <r>
      <rPr>
        <sz val="14"/>
        <color indexed="8"/>
        <rFont val="Arial"/>
      </rPr>
      <t>B001</t>
    </r>
  </si>
  <si>
    <r>
      <rPr>
        <sz val="14"/>
        <color indexed="8"/>
        <rFont val="Arial"/>
      </rPr>
      <t>A004</t>
    </r>
  </si>
  <si>
    <r>
      <rPr>
        <sz val="14"/>
        <color indexed="8"/>
        <rFont val="Arial"/>
      </rPr>
      <t>Maus optisch</t>
    </r>
  </si>
  <si>
    <r>
      <rPr>
        <sz val="14"/>
        <color indexed="8"/>
        <rFont val="Arial"/>
      </rPr>
      <t>Elektronik</t>
    </r>
  </si>
  <si>
    <r>
      <rPr>
        <sz val="14"/>
        <color indexed="15"/>
        <rFont val="Arial"/>
      </rPr>
      <t>TechSupply GmbH</t>
    </r>
  </si>
  <si>
    <r>
      <rPr>
        <sz val="14"/>
        <color indexed="8"/>
        <rFont val="Arial"/>
      </rPr>
      <t>B002</t>
    </r>
  </si>
  <si>
    <r>
      <rPr>
        <sz val="14"/>
        <color indexed="8"/>
        <rFont val="Arial"/>
      </rPr>
      <t>B003</t>
    </r>
  </si>
  <si>
    <r>
      <rPr>
        <sz val="14"/>
        <color indexed="8"/>
        <rFont val="Arial"/>
      </rPr>
      <t>A001</t>
    </r>
  </si>
  <si>
    <r>
      <rPr>
        <sz val="14"/>
        <color indexed="8"/>
        <rFont val="Arial"/>
      </rPr>
      <t>Laptop 14 Zoll</t>
    </r>
  </si>
  <si>
    <r>
      <rPr>
        <sz val="14"/>
        <color indexed="8"/>
        <rFont val="Arial"/>
      </rPr>
      <t>B004</t>
    </r>
  </si>
  <si>
    <r>
      <rPr>
        <sz val="14"/>
        <color indexed="8"/>
        <rFont val="Arial"/>
      </rPr>
      <t>A020</t>
    </r>
  </si>
  <si>
    <r>
      <rPr>
        <sz val="14"/>
        <color indexed="8"/>
        <rFont val="Arial"/>
      </rPr>
      <t>Webcam</t>
    </r>
  </si>
  <si>
    <r>
      <rPr>
        <sz val="14"/>
        <color indexed="8"/>
        <rFont val="Arial"/>
      </rPr>
      <t>B005</t>
    </r>
  </si>
  <si>
    <r>
      <rPr>
        <sz val="14"/>
        <color indexed="8"/>
        <rFont val="Arial"/>
      </rPr>
      <t>A018</t>
    </r>
  </si>
  <si>
    <r>
      <rPr>
        <sz val="14"/>
        <color indexed="8"/>
        <rFont val="Arial"/>
      </rPr>
      <t>Luftpolsterfolie</t>
    </r>
  </si>
  <si>
    <r>
      <rPr>
        <sz val="14"/>
        <color indexed="8"/>
        <rFont val="Arial"/>
      </rPr>
      <t>Verpackung</t>
    </r>
  </si>
  <si>
    <r>
      <rPr>
        <sz val="14"/>
        <color indexed="15"/>
        <rFont val="Arial"/>
      </rPr>
      <t>PackIt GmbH</t>
    </r>
  </si>
  <si>
    <r>
      <rPr>
        <sz val="14"/>
        <color indexed="8"/>
        <rFont val="Arial"/>
      </rPr>
      <t>B006</t>
    </r>
  </si>
  <si>
    <r>
      <rPr>
        <sz val="14"/>
        <color indexed="8"/>
        <rFont val="Arial"/>
      </rPr>
      <t>A009</t>
    </r>
  </si>
  <si>
    <r>
      <rPr>
        <sz val="14"/>
        <color indexed="8"/>
        <rFont val="Arial"/>
      </rPr>
      <t>Ordner A4</t>
    </r>
  </si>
  <si>
    <r>
      <rPr>
        <sz val="14"/>
        <color indexed="8"/>
        <rFont val="Arial"/>
      </rPr>
      <t>Bueromaterial</t>
    </r>
  </si>
  <si>
    <r>
      <rPr>
        <sz val="14"/>
        <color indexed="15"/>
        <rFont val="Arial"/>
      </rPr>
      <t>PaperPlus KG</t>
    </r>
  </si>
  <si>
    <r>
      <rPr>
        <sz val="14"/>
        <color indexed="8"/>
        <rFont val="Arial"/>
      </rPr>
      <t>B007</t>
    </r>
  </si>
  <si>
    <r>
      <rPr>
        <sz val="14"/>
        <color indexed="8"/>
        <rFont val="Arial"/>
      </rPr>
      <t>A005</t>
    </r>
  </si>
  <si>
    <r>
      <rPr>
        <sz val="14"/>
        <color indexed="8"/>
        <rFont val="Arial"/>
      </rPr>
      <t>USB-C Kabel</t>
    </r>
  </si>
  <si>
    <r>
      <rPr>
        <sz val="14"/>
        <color indexed="8"/>
        <rFont val="Arial"/>
      </rPr>
      <t>IT-Zubehoer</t>
    </r>
  </si>
  <si>
    <r>
      <rPr>
        <sz val="14"/>
        <color indexed="15"/>
        <rFont val="Arial"/>
      </rPr>
      <t>KabelPro AG</t>
    </r>
  </si>
  <si>
    <r>
      <rPr>
        <sz val="14"/>
        <color indexed="8"/>
        <rFont val="Arial"/>
      </rPr>
      <t>B008</t>
    </r>
  </si>
  <si>
    <r>
      <rPr>
        <sz val="14"/>
        <color indexed="8"/>
        <rFont val="Arial"/>
      </rPr>
      <t>B009</t>
    </r>
  </si>
  <si>
    <r>
      <rPr>
        <sz val="14"/>
        <color indexed="8"/>
        <rFont val="Arial"/>
      </rPr>
      <t>A015</t>
    </r>
  </si>
  <si>
    <r>
      <rPr>
        <sz val="14"/>
        <color indexed="8"/>
        <rFont val="Arial"/>
      </rPr>
      <t>Kartonbox klein</t>
    </r>
  </si>
  <si>
    <r>
      <rPr>
        <sz val="14"/>
        <color indexed="8"/>
        <rFont val="Arial"/>
      </rPr>
      <t>B010</t>
    </r>
  </si>
  <si>
    <r>
      <rPr>
        <sz val="14"/>
        <color indexed="8"/>
        <rFont val="Arial"/>
      </rPr>
      <t>B011</t>
    </r>
  </si>
  <si>
    <r>
      <rPr>
        <sz val="14"/>
        <color indexed="8"/>
        <rFont val="Arial"/>
      </rPr>
      <t>A003</t>
    </r>
  </si>
  <si>
    <r>
      <rPr>
        <sz val="14"/>
        <color indexed="8"/>
        <rFont val="Arial"/>
      </rPr>
      <t>Tastatur kabellos</t>
    </r>
  </si>
  <si>
    <r>
      <rPr>
        <sz val="14"/>
        <color indexed="8"/>
        <rFont val="Arial"/>
      </rPr>
      <t>B012</t>
    </r>
  </si>
  <si>
    <r>
      <rPr>
        <sz val="14"/>
        <color indexed="8"/>
        <rFont val="Arial"/>
      </rPr>
      <t>A008</t>
    </r>
  </si>
  <si>
    <r>
      <rPr>
        <sz val="14"/>
        <color indexed="8"/>
        <rFont val="Arial"/>
      </rPr>
      <t>Kugelschreiber</t>
    </r>
  </si>
  <si>
    <r>
      <rPr>
        <sz val="14"/>
        <color indexed="8"/>
        <rFont val="Arial"/>
      </rPr>
      <t>B013</t>
    </r>
  </si>
  <si>
    <r>
      <rPr>
        <sz val="14"/>
        <color indexed="8"/>
        <rFont val="Arial"/>
      </rPr>
      <t>A006</t>
    </r>
  </si>
  <si>
    <r>
      <rPr>
        <sz val="14"/>
        <color indexed="8"/>
        <rFont val="Arial"/>
      </rPr>
      <t>Headset</t>
    </r>
  </si>
  <si>
    <r>
      <rPr>
        <sz val="14"/>
        <color indexed="8"/>
        <rFont val="Arial"/>
      </rPr>
      <t>B014</t>
    </r>
  </si>
  <si>
    <r>
      <rPr>
        <sz val="14"/>
        <color indexed="8"/>
        <rFont val="Arial"/>
      </rPr>
      <t>B015</t>
    </r>
  </si>
  <si>
    <r>
      <rPr>
        <sz val="14"/>
        <color indexed="15"/>
        <rFont val="Arial"/>
      </rPr>
      <t>OfficeTech GmbH</t>
    </r>
  </si>
  <si>
    <r>
      <rPr>
        <sz val="14"/>
        <color indexed="8"/>
        <rFont val="Arial"/>
      </rPr>
      <t>Werkzeug</t>
    </r>
  </si>
  <si>
    <r>
      <rPr>
        <sz val="14"/>
        <color indexed="15"/>
        <rFont val="Arial"/>
      </rPr>
      <t>WerkzeugWelt AG</t>
    </r>
  </si>
  <si>
    <r>
      <rPr>
        <sz val="14"/>
        <color indexed="15"/>
        <rFont val="Arial"/>
      </rPr>
      <t>SafetyFirst GmbH</t>
    </r>
  </si>
  <si>
    <t>Spalte G zeigt SVERWEIS mit Bereich_Verweis=WAHR: die Mindestmenge-Tabelle rechts muss dafuer aufsteigend sortiert sein. Excel sucht den groessten Wert, der kleiner oder gleich der gesuchten Menge ist.</t>
  </si>
  <si>
    <r>
      <rPr>
        <b val="1"/>
        <sz val="14"/>
        <color indexed="21"/>
        <rFont val="Menlo Regular"/>
      </rPr>
      <t>$C9</t>
    </r>
    <r>
      <rPr>
        <sz val="14"/>
        <color indexed="21"/>
        <rFont val="Helvetica Neue"/>
      </rPr>
      <t xml:space="preserve"> : valeur à rechercher. </t>
    </r>
    <r>
      <rPr>
        <sz val="14"/>
        <color indexed="21"/>
        <rFont val="Menlo Regular"/>
      </rPr>
      <t>$C</t>
    </r>
    <r>
      <rPr>
        <sz val="14"/>
        <color indexed="21"/>
        <rFont val="Helvetica Neue"/>
      </rPr>
      <t xml:space="preserve"> signifie que la colonne C est bloquée si tu recopies la formule horizontalement</t>
    </r>
  </si>
  <si>
    <r>
      <rPr>
        <b val="1"/>
        <sz val="14"/>
        <color indexed="21"/>
        <rFont val="Menlo Regular"/>
      </rPr>
      <t>$I$9:$J$12</t>
    </r>
    <r>
      <rPr>
        <sz val="14"/>
        <color indexed="21"/>
        <rFont val="Helvetica Neue"/>
      </rPr>
      <t xml:space="preserve"> : tableau dans lequel Excel effectue la recherche.</t>
    </r>
    <r>
      <rPr>
        <sz val="14"/>
        <color indexed="21"/>
        <rFont val="Helvetica Neue"/>
      </rPr>
      <t xml:space="preserve">
</t>
    </r>
    <r>
      <rPr>
        <sz val="14"/>
        <color indexed="21"/>
        <rFont val="Helvetica Neue"/>
      </rPr>
      <t xml:space="preserve">	La recherche se fait </t>
    </r>
    <r>
      <rPr>
        <b val="1"/>
        <sz val="14"/>
        <color indexed="21"/>
        <rFont val="Helvetica Neue"/>
      </rPr>
      <t>uniquement dans la première colonne</t>
    </r>
    <r>
      <rPr>
        <sz val="14"/>
        <color indexed="21"/>
        <rFont val="Helvetica Neue"/>
      </rPr>
      <t xml:space="preserve">, donc </t>
    </r>
    <r>
      <rPr>
        <sz val="14"/>
        <color indexed="21"/>
        <rFont val="Menlo Regular"/>
      </rPr>
      <t>I9:I12</t>
    </r>
    <r>
      <rPr>
        <sz val="14"/>
        <color indexed="21"/>
        <rFont val="Helvetica Neue"/>
      </rPr>
      <t>.</t>
    </r>
    <r>
      <rPr>
        <sz val="14"/>
        <color indexed="21"/>
        <rFont val="Helvetica Neue"/>
      </rPr>
      <t xml:space="preserve">
</t>
    </r>
    <r>
      <rPr>
        <sz val="14"/>
        <color indexed="21"/>
        <rFont val="Menlo Regular"/>
      </rPr>
      <t xml:space="preserve">	$</t>
    </r>
    <r>
      <rPr>
        <sz val="14"/>
        <color indexed="21"/>
        <rFont val="Helvetica Neue"/>
      </rPr>
      <t xml:space="preserve"> bloque les lignes et les colonnes lors d'une copie de la formule.</t>
    </r>
  </si>
  <si>
    <r>
      <rPr>
        <b val="1"/>
        <sz val="14"/>
        <color indexed="21"/>
        <rFont val="Menlo Regular"/>
      </rPr>
      <t>2</t>
    </r>
    <r>
      <rPr>
        <sz val="14"/>
        <color indexed="21"/>
        <rFont val="Helvetica Neue"/>
      </rPr>
      <t xml:space="preserve"> : Excel retourne le résultat de la </t>
    </r>
    <r>
      <rPr>
        <b val="1"/>
        <sz val="14"/>
        <color indexed="21"/>
        <rFont val="Helvetica Neue"/>
      </rPr>
      <t>2ᵉ colonne</t>
    </r>
    <r>
      <rPr>
        <sz val="14"/>
        <color indexed="21"/>
        <rFont val="Helvetica Neue"/>
      </rPr>
      <t xml:space="preserve"> du tableau, donc </t>
    </r>
    <r>
      <rPr>
        <sz val="14"/>
        <color indexed="21"/>
        <rFont val="Menlo Regular"/>
      </rPr>
      <t>J9:J12</t>
    </r>
    <r>
      <rPr>
        <sz val="14"/>
        <color indexed="21"/>
        <rFont val="Helvetica Neue"/>
      </rPr>
      <t>.</t>
    </r>
  </si>
  <si>
    <r>
      <rPr>
        <b val="1"/>
        <sz val="14"/>
        <color indexed="21"/>
        <rFont val="Menlo Regular"/>
      </rPr>
      <t xml:space="preserve">	WAHR()</t>
    </r>
    <r>
      <rPr>
        <sz val="14"/>
        <color indexed="21"/>
        <rFont val="Helvetica Neue"/>
      </rPr>
      <t xml:space="preserve"> : signifie </t>
    </r>
    <r>
      <rPr>
        <b val="1"/>
        <sz val="14"/>
        <color indexed="21"/>
        <rFont val="Helvetica Neue"/>
      </rPr>
      <t>VRAI</t>
    </r>
    <r>
      <rPr>
        <sz val="14"/>
        <color indexed="21"/>
        <rFont val="Helvetica Neue"/>
      </rPr>
      <t xml:space="preserve"> en allemand.</t>
    </r>
    <r>
      <rPr>
        <sz val="14"/>
        <color indexed="21"/>
        <rFont val="Helvetica Neue"/>
      </rPr>
      <t xml:space="preserve">
</t>
    </r>
    <r>
      <rPr>
        <sz val="14"/>
        <color indexed="21"/>
        <rFont val="Helvetica Neue"/>
      </rPr>
      <t xml:space="preserve">	Cela demande une </t>
    </r>
    <r>
      <rPr>
        <b val="1"/>
        <sz val="14"/>
        <color indexed="21"/>
        <rFont val="Helvetica Neue"/>
      </rPr>
      <t>recherche approximative</t>
    </r>
    <r>
      <rPr>
        <sz val="14"/>
        <color indexed="21"/>
        <rFont val="Helvetica Neue"/>
      </rPr>
      <t>.</t>
    </r>
    <r>
      <rPr>
        <sz val="14"/>
        <color indexed="21"/>
        <rFont val="Helvetica Neue"/>
      </rPr>
      <t xml:space="preserve">
</t>
    </r>
    <r>
      <rPr>
        <sz val="14"/>
        <color indexed="21"/>
        <rFont val="Helvetica Neue"/>
      </rPr>
      <t xml:space="preserve">	La première colonne </t>
    </r>
    <r>
      <rPr>
        <sz val="14"/>
        <color indexed="21"/>
        <rFont val="Menlo Regular"/>
      </rPr>
      <t>I9:I12</t>
    </r>
    <r>
      <rPr>
        <sz val="14"/>
        <color indexed="21"/>
        <rFont val="Helvetica Neue"/>
      </rPr>
      <t xml:space="preserve"> doit donc être </t>
    </r>
    <r>
      <rPr>
        <b val="1"/>
        <sz val="14"/>
        <color indexed="21"/>
        <rFont val="Helvetica Neue"/>
      </rPr>
      <t>triée dans l'ordre croissant</t>
    </r>
    <r>
      <rPr>
        <sz val="14"/>
        <color indexed="21"/>
        <rFont val="Helvetica Neue"/>
      </rPr>
      <t>.</t>
    </r>
  </si>
  <si>
    <t>B) WVERWEIS - horizontale Suche</t>
  </si>
  <si>
    <t>Aufgabe: Die Quartalswerte stehen in einer Kopfzeile (Q1-Q4). WVERWEIS sucht in dieser Zeile und liefert den Wert aus der angegebenen Zeile der Tabelle zurueck.</t>
  </si>
  <si>
    <t>Q1</t>
  </si>
  <si>
    <t>Q2</t>
  </si>
  <si>
    <t>Q3</t>
  </si>
  <si>
    <t>Q4</t>
  </si>
  <si>
    <t>Umsatz (EUR)</t>
  </si>
  <si>
    <t>Kosten (EUR)</t>
  </si>
  <si>
    <t>Gewinn (EUR)</t>
  </si>
  <si>
    <t>Beispiel: Kosten in Q3</t>
  </si>
  <si>
    <t>Uebung: Gewinn in Q4</t>
  </si>
  <si>
    <t>Uebung: WVERWEIS schreiben</t>
  </si>
  <si>
    <t>Uebung: Umsatz in Q1</t>
  </si>
  <si>
    <t>02 | INDEX und VERGLEICH</t>
  </si>
  <si>
    <t>INDEX/VERGLEICH ist flexibler als SVERWEIS: die Suchspalte muss nicht die erste Spalte der Matrix sein. Gruen = fertige Beispielformel, Gelb = deine Uebung.</t>
  </si>
  <si>
    <t>A) INDEX/VERGLEICH als SVERWEIS-Ersatz</t>
  </si>
  <si>
    <t>Gleiche Aufgabe wie in Blatt 01, jetzt mit INDEX/VERGLEICH geloest. Spalte D ist vorgeloest, Spalte E ist deine Uebung (nur Zeile 1 ist als Beispiel geloest).</t>
  </si>
  <si>
    <t>Artikelname (INDEX/VERGLEICH)</t>
  </si>
  <si>
    <t>Kategorie (Uebung)</t>
  </si>
  <si>
    <t>B) Suche nach links - die eigentliche Staerke von INDEX/VERGLEICH</t>
  </si>
  <si>
    <t>In den Stammdaten steht die Artikel-ID (Spalte A) LINKS vom Artikelnamen (Spalte B). SVERWEIS kann das nicht direkt loesen, weil es immer nur nach rechts sucht. INDEX/VERGLEICH ist egal, in welche Richtung gesucht wird.</t>
  </si>
  <si>
    <t>Artikelname (Eingabe):</t>
  </si>
  <si>
    <t>Gefundene Artikel-ID (INDEX/VERGLEICH):</t>
  </si>
  <si>
    <r>
      <rPr>
        <sz val="14"/>
        <color indexed="8"/>
        <rFont val="Arial"/>
      </rPr>
      <t>A012</t>
    </r>
  </si>
  <si>
    <t>Uebung: Lieferant finden (INDEX/VERGLEICH, Spalte D im Stamm):</t>
  </si>
  <si>
    <t>Uebung: INDEX/VERGLEICH schreiben</t>
  </si>
  <si>
    <t>03 | XVERWEIS und XVERGLEICH</t>
  </si>
  <si>
    <t>XVERWEIS ist der moderne Nachfolger von SVERWEIS/WVERWEIS/INDEX-VERGLEICH (ab Excel 365). Gruen = fertige Beispielformel, Gelb = deine Uebung.</t>
  </si>
  <si>
    <t>A) XVERWEIS - Suche nach links ohne Spaltenzaehlen</t>
  </si>
  <si>
    <t>Syntax: =XVERWEIS(Suchkriterium; Suchmatrix; Rueckgabematrix; ...). Anders als bei INDEX/VERGLEICH gibst du Such- und Rueckgabebereich direkt an - keine Positionsberechnung noetig.</t>
  </si>
  <si>
    <t>Gefundene Artikel-ID (XVERWEIS):</t>
  </si>
  <si>
    <t>Uebung: Kategorie finden (XVERWEIS):</t>
  </si>
  <si>
    <t>Uebung: XVERWEIS schreiben</t>
  </si>
  <si>
    <t>B) Der Parameter wenn_nicht_gefunden</t>
  </si>
  <si>
    <t>Klassisches SVERWEIS liefert bei einem nicht vorhandenen Suchkriterium den Fehler #NV. XVERWEIS kann stattdessen direkt einen eigenen Text zurueckgeben.</t>
  </si>
  <si>
    <t>Artikel-ID (Eingabe, existiert NICHT):</t>
  </si>
  <si>
    <t>A099</t>
  </si>
  <si>
    <t>Ergebnis mit wenn_nicht_gefunden:</t>
  </si>
  <si>
    <t>Artikel nicht im Stamm gefunden</t>
  </si>
  <si>
    <t>C) Suchmodus -1: von unten nach oben suchen</t>
  </si>
  <si>
    <t>Bei Prozessdaten steht der zeitlich juengste Eintrag oft weiter unten in der Tabelle. Suchmodus -1 durchsucht die Matrix von unten nach oben und liefert den ERSTEN Treffer von unten - also den letzten Vorgang zu einer Artikel-ID.</t>
  </si>
  <si>
    <t>Artikel-ID (Eingabe):</t>
  </si>
  <si>
    <t>Status der letzten Bestellung (XVERWEIS, Suchmodus -1):</t>
  </si>
  <si>
    <r>
      <rPr>
        <sz val="14"/>
        <color indexed="8"/>
        <rFont val="Arial"/>
      </rPr>
      <t>Offen</t>
    </r>
  </si>
  <si>
    <t>Uebung: Lieferzeit_Tage der letzten Bestellung (Suchmodus -1):</t>
  </si>
  <si>
    <t>Uebung: XVERWEIS mit Suchmodus -1 schreiben</t>
  </si>
  <si>
    <t>XVERWEIS(C8;Stammdaten_Artikel::Tabelle 1::$B$5:$B$24;Stammdaten_Artikel::Tabelle 1::$A$5:$A$24)</t>
  </si>
  <si>
    <t xml:space="preserve">Cherche la valeur de C8 dans la colonne B de la feuille/table Stammdaten_Artikel, et renvoie la valeur correspondante de la colonne A. </t>
  </si>
  <si>
    <r>
      <rPr>
        <b val="1"/>
        <sz val="16"/>
        <color indexed="21"/>
        <rFont val="Menlo Regular"/>
      </rPr>
      <t xml:space="preserve">	</t>
    </r>
    <r>
      <rPr>
        <sz val="16"/>
        <color indexed="21"/>
        <rFont val="Menlo Regular"/>
      </rPr>
      <t>8</t>
    </r>
    <r>
      <rPr>
        <sz val="16"/>
        <color indexed="21"/>
        <rFont val="Helvetica Neue"/>
      </rPr>
      <t xml:space="preserve"> → la valeur recherchée.</t>
    </r>
    <r>
      <rPr>
        <sz val="16"/>
        <color indexed="21"/>
        <rFont val="Helvetica Neue"/>
      </rPr>
      <t xml:space="preserve">
</t>
    </r>
    <r>
      <rPr>
        <sz val="16"/>
        <color indexed="21"/>
        <rFont val="Menlo Regular"/>
      </rPr>
      <t xml:space="preserve">	Stammdaten_Artikel::Tabelle 1::$B$5:$B$24</t>
    </r>
    <r>
      <rPr>
        <sz val="16"/>
        <color indexed="21"/>
        <rFont val="Helvetica Neue"/>
      </rPr>
      <t xml:space="preserve"> → la colonne dans laquelle Excel cherche.</t>
    </r>
    <r>
      <rPr>
        <sz val="16"/>
        <color indexed="21"/>
        <rFont val="Helvetica Neue"/>
      </rPr>
      <t xml:space="preserve">
</t>
    </r>
    <r>
      <rPr>
        <sz val="16"/>
        <color indexed="21"/>
        <rFont val="Helvetica Neue"/>
      </rPr>
      <t xml:space="preserve">	Ici : </t>
    </r>
    <r>
      <rPr>
        <sz val="16"/>
        <color indexed="21"/>
        <rFont val="Menlo Regular"/>
      </rPr>
      <t>B5:B24</t>
    </r>
    <r>
      <rPr>
        <sz val="16"/>
        <color indexed="21"/>
        <rFont val="Helvetica Neue"/>
      </rPr>
      <t>.</t>
    </r>
    <r>
      <rPr>
        <sz val="16"/>
        <color indexed="21"/>
        <rFont val="Helvetica Neue"/>
      </rPr>
      <t xml:space="preserve">
</t>
    </r>
    <r>
      <rPr>
        <sz val="16"/>
        <color indexed="21"/>
        <rFont val="Menlo Regular"/>
      </rPr>
      <t xml:space="preserve">	Stammdaten_Artikel::Tabelle 1::$A$5:$A$24</t>
    </r>
    <r>
      <rPr>
        <sz val="16"/>
        <color indexed="21"/>
        <rFont val="Helvetica Neue"/>
      </rPr>
      <t xml:space="preserve"> → la colonne dont Excel renvoie le résultat.</t>
    </r>
    <r>
      <rPr>
        <sz val="16"/>
        <color indexed="21"/>
        <rFont val="Helvetica Neue"/>
      </rPr>
      <t xml:space="preserve">
</t>
    </r>
    <r>
      <rPr>
        <sz val="16"/>
        <color indexed="21"/>
        <rFont val="Helvetica Neue"/>
      </rPr>
      <t xml:space="preserve">	Ici : </t>
    </r>
    <r>
      <rPr>
        <sz val="16"/>
        <color indexed="21"/>
        <rFont val="Menlo Regular"/>
      </rPr>
      <t>A5:A24</t>
    </r>
    <r>
      <rPr>
        <sz val="16"/>
        <color indexed="21"/>
        <rFont val="Helvetica Neue"/>
      </rPr>
      <t>.</t>
    </r>
  </si>
  <si>
    <t>04 | Dynamische Array-Funktionen</t>
  </si>
  <si>
    <t>EINDEUTIG, FILTER, SORTIEREN und SEQUENZ liefern automatisch ein Array zurueck, das sich ueber mehrere Zellen verteilt (Spill-Bereich). Du gibst die Formel nur in die erste Zelle ein - die Zellen darunter/daneben muessen leer bleiben.</t>
  </si>
  <si>
    <t>A) EINDEUTIG</t>
  </si>
  <si>
    <t>EINDEUTIG entfernt Duplikate aus einer Liste, ohne die Originaldaten zu veraendern.</t>
  </si>
  <si>
    <t>Kategorien (EINDEUTIG)</t>
  </si>
  <si>
    <t>Status-Werte (EINDEUTIG)</t>
  </si>
  <si>
    <t>B) FILTER</t>
  </si>
  <si>
    <t>FILTER gibt nur die Zeilen zurueck, die eine Bedingung erfuellen - hier alle Bestellungen mit Status 'Verzoegert'.</t>
  </si>
  <si>
    <r>
      <rPr>
        <sz val="14"/>
        <color indexed="8"/>
        <rFont val="Arial"/>
      </rPr>
      <t>M10</t>
    </r>
  </si>
  <si>
    <r>
      <rPr>
        <sz val="14"/>
        <color indexed="8"/>
        <rFont val="Arial"/>
      </rPr>
      <t>Verzoegert</t>
    </r>
  </si>
  <si>
    <r>
      <rPr>
        <sz val="14"/>
        <color indexed="8"/>
        <rFont val="Arial"/>
      </rPr>
      <t>M05</t>
    </r>
  </si>
  <si>
    <r>
      <rPr>
        <sz val="14"/>
        <color indexed="8"/>
        <rFont val="Arial"/>
      </rPr>
      <t>M03</t>
    </r>
  </si>
  <si>
    <r>
      <rPr>
        <sz val="14"/>
        <color indexed="8"/>
        <rFont val="Arial"/>
      </rPr>
      <t>B016</t>
    </r>
  </si>
  <si>
    <r>
      <rPr>
        <sz val="14"/>
        <color indexed="8"/>
        <rFont val="Arial"/>
      </rPr>
      <t>M02</t>
    </r>
  </si>
  <si>
    <r>
      <rPr>
        <sz val="14"/>
        <color indexed="8"/>
        <rFont val="Arial"/>
      </rPr>
      <t>B019</t>
    </r>
  </si>
  <si>
    <r>
      <rPr>
        <sz val="14"/>
        <color indexed="8"/>
        <rFont val="Arial"/>
      </rPr>
      <t>A011</t>
    </r>
  </si>
  <si>
    <r>
      <rPr>
        <sz val="14"/>
        <color indexed="8"/>
        <rFont val="Arial"/>
      </rPr>
      <t>M08</t>
    </r>
  </si>
  <si>
    <r>
      <rPr>
        <sz val="14"/>
        <color indexed="8"/>
        <rFont val="Arial"/>
      </rPr>
      <t>B021</t>
    </r>
  </si>
  <si>
    <r>
      <rPr>
        <sz val="14"/>
        <color indexed="8"/>
        <rFont val="Arial"/>
      </rPr>
      <t>B022</t>
    </r>
  </si>
  <si>
    <r>
      <rPr>
        <sz val="14"/>
        <color indexed="8"/>
        <rFont val="Arial"/>
      </rPr>
      <t>M09</t>
    </r>
  </si>
  <si>
    <r>
      <rPr>
        <sz val="14"/>
        <color indexed="8"/>
        <rFont val="Arial"/>
      </rPr>
      <t>B024</t>
    </r>
  </si>
  <si>
    <r>
      <rPr>
        <sz val="14"/>
        <color indexed="8"/>
        <rFont val="Arial"/>
      </rPr>
      <t>A014</t>
    </r>
  </si>
  <si>
    <r>
      <rPr>
        <sz val="14"/>
        <color indexed="8"/>
        <rFont val="Arial"/>
      </rPr>
      <t>M07</t>
    </r>
  </si>
  <si>
    <r>
      <rPr>
        <sz val="14"/>
        <color indexed="8"/>
        <rFont val="Arial"/>
      </rPr>
      <t>B036</t>
    </r>
  </si>
  <si>
    <r>
      <rPr>
        <sz val="14"/>
        <color indexed="8"/>
        <rFont val="Arial"/>
      </rPr>
      <t>A010</t>
    </r>
  </si>
  <si>
    <r>
      <rPr>
        <sz val="14"/>
        <color indexed="8"/>
        <rFont val="Arial"/>
      </rPr>
      <t>M06</t>
    </r>
  </si>
  <si>
    <t>Uebung: Schreibe in der Zelle darunter eine FILTER-Formel, die alle Bestellungen mit Menge &gt; 30 zurueckgibt (Bereich Bestellungen!A:G, Bedingung auf Spalte D).</t>
  </si>
  <si>
    <t>Uebung: FILTER-Formel hier eintragen</t>
  </si>
  <si>
    <t>C) SORTIEREN kombiniert mit FILTER</t>
  </si>
  <si>
    <t>Funktionen lassen sich verschachteln: zuerst filtern, das Ergebnis direkt weiter sortieren - hier nach Lieferzeit_Tage absteigend, um die groessten Verzoegerungen oben zu sehen.</t>
  </si>
  <si>
    <t>D) SEQUENZ</t>
  </si>
  <si>
    <t>SEQUENZ erzeugt eine Zahlenreihe. Kombiniert mit DATUM und TEXT lassen sich z.B. automatisch 12 Monatsnamen fuer eine Jahresuebersicht erzeugen, ohne sie einzeln zu tippen.</t>
  </si>
  <si>
    <t>Monatsnummern (SEQUENZ)</t>
  </si>
  <si>
    <t>Monatsnamen 2026 (SEQUENZ + DATUM + TEXT)</t>
  </si>
  <si>
    <t>Loesungen zu den Uebungszellen</t>
  </si>
  <si>
    <t>Schau hier erst nach, wenn du es selbst versucht hast. Die Formeln sind als Text hinterlegt (sie rechnen hier nicht), damit du sie in Ruhe lesen und danach selbst eintippen kannst.</t>
  </si>
  <si>
    <t>Nr.</t>
  </si>
  <si>
    <t>Tabellenblatt</t>
  </si>
  <si>
    <t>Zelle</t>
  </si>
  <si>
    <t>Aufgabe</t>
  </si>
  <si>
    <t>Loesungsformel</t>
  </si>
  <si>
    <t>E10:E23</t>
  </si>
  <si>
    <t>Kategorie per SVERWEIS</t>
  </si>
  <si>
    <t>=SVERWEIS($B10;Stammdaten_Artikel!$A$5:$F$24;3;FALSCH)</t>
  </si>
  <si>
    <t>F9:F23</t>
  </si>
  <si>
    <t>Lieferant per SVERWEIS</t>
  </si>
  <si>
    <t>=SVERWEIS($B9;Stammdaten_Artikel!$A$5:$F$24;4;FALSCH)</t>
  </si>
  <si>
    <t>C37</t>
  </si>
  <si>
    <t>Gewinn in Q4 per WVERWEIS</t>
  </si>
  <si>
    <t>=WVERWEIS("Q4";$A$31:$E$34;4;FALSCH)</t>
  </si>
  <si>
    <t>C38</t>
  </si>
  <si>
    <t>Umsatz in Q1 per WVERWEIS</t>
  </si>
  <si>
    <t>=WVERWEIS("Q1";$A$31:$E$34;2;FALSCH)</t>
  </si>
  <si>
    <t>Kategorie per INDEX/VERGLEICH</t>
  </si>
  <si>
    <t>=INDEX(Stammdaten_Artikel!$C$5:$C$24;VERGLEICH($B10;Stammdaten_Artikel!$A$5:$A$24;0))</t>
  </si>
  <si>
    <t>C34</t>
  </si>
  <si>
    <t>Lieferant zu 'Bohrmaschine' per INDEX/VERGLEICH (Suche nach links)</t>
  </si>
  <si>
    <t>=INDEX(Stammdaten_Artikel!$D$5:$D$24;VERGLEICH(C33;Stammdaten_Artikel!$B$5:$B$24;0))</t>
  </si>
  <si>
    <t>C13</t>
  </si>
  <si>
    <t>Kategorie zu 'Aktenvernichter' per XVERWEIS</t>
  </si>
  <si>
    <t>=XVERWEIS(C12;Stammdaten_Artikel!$B$5:$B$24;Stammdaten_Artikel!$C$5:$C$24)</t>
  </si>
  <si>
    <t>C31</t>
  </si>
  <si>
    <t>Lieferzeit_Tage der letzten Bestellung zu A007 (Suchmodus -1)</t>
  </si>
  <si>
    <t>=XVERWEIS(C30;Bestellungen!$B$5:$B$44;Bestellungen!$G$5:$G$44;"keine Bestellung gefunden";0;-1)</t>
  </si>
  <si>
    <t>Uebungszelle unter dem FILTER-Beispiel</t>
  </si>
  <si>
    <t>Bestellungen mit Menge &gt; 30 per FILTER</t>
  </si>
  <si>
    <t>=FILTER(Bestellungen!$A$5:$G$44;Bestellungen!$D$5:$D$44&gt;30)</t>
  </si>
</sst>
</file>

<file path=xl/styles.xml><?xml version="1.0" encoding="utf-8"?>
<styleSheet xmlns="http://schemas.openxmlformats.org/spreadsheetml/2006/main">
  <numFmts count="4">
    <numFmt numFmtId="0" formatCode="General"/>
    <numFmt numFmtId="59" formatCode="#,##0.00&quot; €&quot;"/>
    <numFmt numFmtId="60" formatCode="#,##0&quot; €&quot;"/>
    <numFmt numFmtId="61" formatCode="dd&quot;.&quot;mm&quot;.&quot;yyyy"/>
  </numFmts>
  <fonts count="2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4"/>
      <color indexed="12"/>
      <name val="Arial"/>
    </font>
    <font>
      <sz val="10"/>
      <color indexed="15"/>
      <name val="Arial"/>
    </font>
    <font>
      <sz val="12"/>
      <color indexed="16"/>
      <name val="Arial"/>
    </font>
    <font>
      <sz val="11"/>
      <color indexed="12"/>
      <name val="Arial"/>
    </font>
    <font>
      <sz val="14"/>
      <color indexed="8"/>
      <name val="Arial"/>
    </font>
    <font>
      <sz val="14"/>
      <color indexed="15"/>
      <name val="Arial"/>
    </font>
    <font>
      <sz val="14"/>
      <color indexed="13"/>
      <name val="Arial"/>
    </font>
    <font>
      <sz val="11"/>
      <color indexed="8"/>
      <name val="Arial"/>
    </font>
    <font>
      <sz val="11"/>
      <color indexed="13"/>
      <name val="Arial"/>
    </font>
    <font>
      <sz val="14"/>
      <color indexed="16"/>
      <name val="Arial"/>
    </font>
    <font>
      <sz val="16"/>
      <color indexed="21"/>
      <name val="Helvetica Neue"/>
    </font>
    <font>
      <b val="1"/>
      <sz val="14"/>
      <color indexed="21"/>
      <name val="Menlo Regular"/>
    </font>
    <font>
      <sz val="14"/>
      <color indexed="21"/>
      <name val="Helvetica Neue"/>
    </font>
    <font>
      <sz val="14"/>
      <color indexed="21"/>
      <name val="Menlo Regular"/>
    </font>
    <font>
      <b val="1"/>
      <sz val="14"/>
      <color indexed="21"/>
      <name val="Helvetica Neue"/>
    </font>
    <font>
      <sz val="16"/>
      <color indexed="21"/>
      <name val="Arial"/>
    </font>
    <font>
      <sz val="14"/>
      <color indexed="21"/>
      <name val="Arial"/>
    </font>
    <font>
      <sz val="16"/>
      <color indexed="21"/>
      <name val="Menlo Regular"/>
    </font>
    <font>
      <b val="1"/>
      <sz val="16"/>
      <color indexed="21"/>
      <name val="Menlo Regular"/>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12"/>
        <bgColor auto="1"/>
      </patternFill>
    </fill>
  </fills>
  <borders count="11">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style="thin">
        <color indexed="14"/>
      </right>
      <top style="thin">
        <color indexed="14"/>
      </top>
      <bottom style="thin">
        <color indexed="14"/>
      </bottom>
      <diagonal/>
    </border>
    <border>
      <left style="thin">
        <color indexed="14"/>
      </left>
      <right style="thin">
        <color indexed="14"/>
      </right>
      <top style="thin">
        <color indexed="17"/>
      </top>
      <bottom style="thin">
        <color indexed="14"/>
      </bottom>
      <diagonal/>
    </border>
    <border>
      <left style="thin">
        <color indexed="17"/>
      </left>
      <right style="thin">
        <color indexed="17"/>
      </right>
      <top style="thin">
        <color indexed="14"/>
      </top>
      <bottom style="thin">
        <color indexed="14"/>
      </bottom>
      <diagonal/>
    </border>
    <border>
      <left style="thin">
        <color indexed="14"/>
      </left>
      <right style="thin">
        <color indexed="17"/>
      </right>
      <top style="thin">
        <color indexed="17"/>
      </top>
      <bottom style="thin">
        <color indexed="14"/>
      </bottom>
      <diagonal/>
    </border>
    <border>
      <left style="thin">
        <color indexed="17"/>
      </left>
      <right style="thin">
        <color indexed="14"/>
      </right>
      <top style="thin">
        <color indexed="17"/>
      </top>
      <bottom style="thin">
        <color indexed="14"/>
      </bottom>
      <diagonal/>
    </border>
    <border>
      <left style="thin">
        <color indexed="14"/>
      </left>
      <right style="thin">
        <color indexed="17"/>
      </right>
      <top style="thin">
        <color indexed="14"/>
      </top>
      <bottom style="thin">
        <color indexed="14"/>
      </bottom>
      <diagonal/>
    </border>
    <border>
      <left style="thin">
        <color indexed="14"/>
      </left>
      <right style="thin">
        <color indexed="14"/>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9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49" fontId="7" fillId="4" borderId="1" applyNumberFormat="1" applyFont="1" applyFill="1" applyBorder="1" applyAlignment="1" applyProtection="0">
      <alignment vertical="top" wrapText="1"/>
    </xf>
    <xf numFmtId="1" fontId="7" fillId="4" borderId="1" applyNumberFormat="1" applyFont="1" applyFill="1" applyBorder="1" applyAlignment="1" applyProtection="0">
      <alignment vertical="top" wrapText="1"/>
    </xf>
    <xf numFmtId="49" fontId="8" fillId="4" borderId="1" applyNumberFormat="1" applyFont="1" applyFill="1" applyBorder="1" applyAlignment="1" applyProtection="0">
      <alignment vertical="bottom"/>
    </xf>
    <xf numFmtId="49" fontId="9" fillId="4" borderId="1" applyNumberFormat="1" applyFont="1" applyFill="1" applyBorder="1" applyAlignment="1" applyProtection="0">
      <alignment vertical="bottom"/>
    </xf>
    <xf numFmtId="49" fontId="0" fillId="4" borderId="1" applyNumberFormat="1" applyFont="1" applyFill="1" applyBorder="1" applyAlignment="1" applyProtection="0">
      <alignment vertical="bottom" wrapText="1"/>
    </xf>
    <xf numFmtId="1" fontId="0" fillId="4" borderId="1" applyNumberFormat="1" applyFont="1" applyFill="1" applyBorder="1" applyAlignment="1" applyProtection="0">
      <alignment vertical="bottom" wrapText="1"/>
    </xf>
    <xf numFmtId="49" fontId="8" fillId="4" borderId="2" applyNumberFormat="1" applyFont="1" applyFill="1" applyBorder="1" applyAlignment="1" applyProtection="0">
      <alignment vertical="bottom"/>
    </xf>
    <xf numFmtId="1" fontId="0" fillId="5" borderId="3" applyNumberFormat="1" applyFont="1" applyFill="1" applyBorder="1" applyAlignment="1" applyProtection="0">
      <alignment vertical="bottom"/>
    </xf>
    <xf numFmtId="49" fontId="0" fillId="4" borderId="4" applyNumberFormat="1" applyFont="1" applyFill="1" applyBorder="1" applyAlignment="1" applyProtection="0">
      <alignment vertical="bottom" wrapText="1"/>
    </xf>
    <xf numFmtId="1" fontId="0" fillId="6" borderId="3" applyNumberFormat="1" applyFont="1" applyFill="1" applyBorder="1" applyAlignment="1" applyProtection="0">
      <alignment vertical="bottom"/>
    </xf>
    <xf numFmtId="1" fontId="0" fillId="7" borderId="3"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applyNumberFormat="1" applyFont="1" applyFill="0" applyBorder="0" applyAlignment="1" applyProtection="0">
      <alignment vertical="bottom"/>
    </xf>
    <xf numFmtId="0" fontId="10" fillId="4" borderId="1" applyNumberFormat="0" applyFont="1" applyFill="1" applyBorder="1" applyAlignment="1" applyProtection="0">
      <alignment vertical="bottom"/>
    </xf>
    <xf numFmtId="49" fontId="11" fillId="4" borderId="1" applyNumberFormat="1" applyFont="1" applyFill="1" applyBorder="1" applyAlignment="1" applyProtection="0">
      <alignment vertical="top" wrapText="1"/>
    </xf>
    <xf numFmtId="0" fontId="10" fillId="4" borderId="2" applyNumberFormat="0" applyFont="1" applyFill="1" applyBorder="1" applyAlignment="1" applyProtection="0">
      <alignment vertical="bottom"/>
    </xf>
    <xf numFmtId="49" fontId="12" fillId="8" borderId="3" applyNumberFormat="1" applyFont="1" applyFill="1" applyBorder="1" applyAlignment="1" applyProtection="0">
      <alignment horizontal="center" vertical="center"/>
    </xf>
    <xf numFmtId="49" fontId="10" fillId="4" borderId="3" applyNumberFormat="1" applyFont="1" applyFill="1" applyBorder="1" applyAlignment="1" applyProtection="0">
      <alignment vertical="bottom"/>
    </xf>
    <xf numFmtId="59" fontId="10" fillId="4" borderId="3" applyNumberFormat="1" applyFont="1" applyFill="1" applyBorder="1" applyAlignment="1" applyProtection="0">
      <alignment vertical="bottom"/>
    </xf>
    <xf numFmtId="0" fontId="0" applyNumberFormat="1" applyFont="1" applyFill="0" applyBorder="0" applyAlignment="1" applyProtection="0">
      <alignment vertical="bottom"/>
    </xf>
    <xf numFmtId="0" fontId="10" borderId="1" applyNumberFormat="0" applyFont="1" applyFill="0" applyBorder="1" applyAlignment="1" applyProtection="0">
      <alignment vertical="bottom"/>
    </xf>
    <xf numFmtId="0" fontId="10" borderId="4" applyNumberFormat="0" applyFont="1" applyFill="0" applyBorder="1" applyAlignment="1" applyProtection="0">
      <alignment vertical="bottom"/>
    </xf>
    <xf numFmtId="60" fontId="10" fillId="4" borderId="3" applyNumberFormat="1" applyFont="1" applyFill="1" applyBorder="1" applyAlignment="1" applyProtection="0">
      <alignment vertical="bottom"/>
    </xf>
    <xf numFmtId="0" fontId="0" applyNumberFormat="1" applyFont="1" applyFill="0" applyBorder="0" applyAlignment="1" applyProtection="0">
      <alignment vertical="bottom"/>
    </xf>
    <xf numFmtId="0" fontId="13" fillId="4" borderId="1" applyNumberFormat="0" applyFont="1" applyFill="1" applyBorder="1" applyAlignment="1" applyProtection="0">
      <alignment vertical="bottom"/>
    </xf>
    <xf numFmtId="0" fontId="13" fillId="4" borderId="2" applyNumberFormat="0" applyFont="1" applyFill="1" applyBorder="1" applyAlignment="1" applyProtection="0">
      <alignment vertical="bottom"/>
    </xf>
    <xf numFmtId="49" fontId="14" fillId="8" borderId="3" applyNumberFormat="1" applyFont="1" applyFill="1" applyBorder="1" applyAlignment="1" applyProtection="0">
      <alignment horizontal="center" vertical="center"/>
    </xf>
    <xf numFmtId="49" fontId="13" fillId="4" borderId="3" applyNumberFormat="1" applyFont="1" applyFill="1" applyBorder="1" applyAlignment="1" applyProtection="0">
      <alignment horizontal="center" vertical="bottom"/>
    </xf>
    <xf numFmtId="61" fontId="13" fillId="4" borderId="3" applyNumberFormat="1" applyFont="1" applyFill="1" applyBorder="1" applyAlignment="1" applyProtection="0">
      <alignment vertical="bottom"/>
    </xf>
    <xf numFmtId="1" fontId="13" fillId="4"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5" fillId="4" borderId="1" applyNumberFormat="1" applyFont="1" applyFill="1" applyBorder="1" applyAlignment="1" applyProtection="0">
      <alignment vertical="bottom"/>
    </xf>
    <xf numFmtId="0" fontId="10" fillId="4" borderId="6" applyNumberFormat="0" applyFont="1" applyFill="1" applyBorder="1" applyAlignment="1" applyProtection="0">
      <alignment vertical="bottom"/>
    </xf>
    <xf numFmtId="0" fontId="10" fillId="4" borderId="3" applyNumberFormat="0" applyFont="1" applyFill="1" applyBorder="1" applyAlignment="1" applyProtection="0">
      <alignment horizontal="center" vertical="bottom"/>
    </xf>
    <xf numFmtId="1" fontId="10" fillId="4" borderId="3" applyNumberFormat="1" applyFont="1" applyFill="1" applyBorder="1" applyAlignment="1" applyProtection="0">
      <alignment horizontal="center" vertical="bottom"/>
    </xf>
    <xf numFmtId="0" fontId="10" fillId="5" borderId="3" applyNumberFormat="0" applyFont="1" applyFill="1" applyBorder="1" applyAlignment="1" applyProtection="0">
      <alignment horizontal="left" vertical="bottom"/>
    </xf>
    <xf numFmtId="0" fontId="11" fillId="6" borderId="3" applyNumberFormat="0" applyFont="1" applyFill="1" applyBorder="1" applyAlignment="1" applyProtection="0">
      <alignment horizontal="left" vertical="bottom"/>
    </xf>
    <xf numFmtId="9" fontId="10" fillId="5" borderId="3" applyNumberFormat="1" applyFont="1" applyFill="1" applyBorder="1" applyAlignment="1" applyProtection="0">
      <alignment horizontal="center" vertical="bottom"/>
    </xf>
    <xf numFmtId="9" fontId="10" fillId="4" borderId="3" applyNumberFormat="1" applyFont="1" applyFill="1" applyBorder="1" applyAlignment="1" applyProtection="0">
      <alignment horizontal="center" vertical="bottom"/>
    </xf>
    <xf numFmtId="0" fontId="10" fillId="4" borderId="4" applyNumberFormat="0" applyFont="1" applyFill="1" applyBorder="1" applyAlignment="1" applyProtection="0">
      <alignment vertical="bottom"/>
    </xf>
    <xf numFmtId="0" fontId="10" fillId="4" borderId="5" applyNumberFormat="0" applyFont="1" applyFill="1" applyBorder="1" applyAlignment="1" applyProtection="0">
      <alignment vertical="bottom"/>
    </xf>
    <xf numFmtId="0" fontId="10" fillId="4" borderId="7" applyNumberFormat="0" applyFont="1" applyFill="1" applyBorder="1" applyAlignment="1" applyProtection="0">
      <alignment vertical="bottom"/>
    </xf>
    <xf numFmtId="49" fontId="10" fillId="4" borderId="3" applyNumberFormat="1" applyFont="1" applyFill="1" applyBorder="1" applyAlignment="1" applyProtection="0">
      <alignment horizontal="center" vertical="bottom"/>
    </xf>
    <xf numFmtId="0" fontId="10" fillId="4" borderId="8" applyNumberFormat="0" applyFont="1" applyFill="1" applyBorder="1" applyAlignment="1" applyProtection="0">
      <alignment vertical="bottom"/>
    </xf>
    <xf numFmtId="0" fontId="10" fillId="5" borderId="5" applyNumberFormat="0" applyFont="1" applyFill="1" applyBorder="1" applyAlignment="1" applyProtection="0">
      <alignment horizontal="left" vertical="bottom"/>
    </xf>
    <xf numFmtId="0" fontId="11" fillId="6" borderId="5" applyNumberFormat="0" applyFont="1" applyFill="1" applyBorder="1" applyAlignment="1" applyProtection="0">
      <alignment horizontal="left" vertical="bottom"/>
    </xf>
    <xf numFmtId="9" fontId="10" fillId="5" borderId="5" applyNumberFormat="1" applyFont="1" applyFill="1" applyBorder="1" applyAlignment="1" applyProtection="0">
      <alignment horizontal="center" vertical="bottom"/>
    </xf>
    <xf numFmtId="0" fontId="10" fillId="4" borderId="9" applyNumberFormat="0" applyFont="1" applyFill="1" applyBorder="1" applyAlignment="1" applyProtection="0">
      <alignment vertical="bottom"/>
    </xf>
    <xf numFmtId="0" fontId="10" fillId="5" borderId="1" applyNumberFormat="0" applyFont="1" applyFill="1" applyBorder="1" applyAlignment="1" applyProtection="0">
      <alignment horizontal="left" vertical="bottom"/>
    </xf>
    <xf numFmtId="0" fontId="11" fillId="6" borderId="1" applyNumberFormat="0" applyFont="1" applyFill="1" applyBorder="1" applyAlignment="1" applyProtection="0">
      <alignment horizontal="left" vertical="bottom"/>
    </xf>
    <xf numFmtId="9" fontId="10" fillId="5" borderId="1" applyNumberFormat="1" applyFont="1" applyFill="1" applyBorder="1" applyAlignment="1" applyProtection="0">
      <alignment horizontal="center" vertical="bottom"/>
    </xf>
    <xf numFmtId="49" fontId="16" fillId="4" borderId="1" applyNumberFormat="1" applyFont="1" applyFill="1" applyBorder="1" applyAlignment="1" applyProtection="0">
      <alignment horizontal="left" vertical="bottom"/>
    </xf>
    <xf numFmtId="49" fontId="10" fillId="4" borderId="1" applyNumberFormat="1" applyFont="1" applyFill="1" applyBorder="1" applyAlignment="1" applyProtection="0">
      <alignment vertical="bottom"/>
    </xf>
    <xf numFmtId="49" fontId="10" fillId="4" borderId="1" applyNumberFormat="1" applyFont="1" applyFill="1" applyBorder="1" applyAlignment="1" applyProtection="0">
      <alignment vertical="bottom" wrapText="1"/>
    </xf>
    <xf numFmtId="1" fontId="12" fillId="8" borderId="3" applyNumberFormat="1" applyFont="1" applyFill="1" applyBorder="1" applyAlignment="1" applyProtection="0">
      <alignment horizontal="center" vertical="center"/>
    </xf>
    <xf numFmtId="3" fontId="10" fillId="4" borderId="3" applyNumberFormat="1" applyFont="1" applyFill="1" applyBorder="1" applyAlignment="1" applyProtection="0">
      <alignment horizontal="center" vertical="bottom"/>
    </xf>
    <xf numFmtId="0" fontId="10" fillId="4" borderId="10" applyNumberFormat="0" applyFont="1" applyFill="1" applyBorder="1" applyAlignment="1" applyProtection="0">
      <alignment vertical="bottom"/>
    </xf>
    <xf numFmtId="3" fontId="10" fillId="5" borderId="3" applyNumberFormat="1" applyFont="1" applyFill="1" applyBorder="1" applyAlignment="1" applyProtection="0">
      <alignment horizontal="center" vertical="bottom"/>
    </xf>
    <xf numFmtId="49" fontId="11" fillId="6"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2" fillId="4" borderId="1" applyNumberFormat="0" applyFont="1" applyFill="1" applyBorder="1" applyAlignment="1" applyProtection="0">
      <alignment vertical="bottom"/>
    </xf>
    <xf numFmtId="0" fontId="2" borderId="1" applyNumberFormat="0" applyFont="1" applyFill="0" applyBorder="1" applyAlignment="1" applyProtection="0">
      <alignment vertical="bottom"/>
    </xf>
    <xf numFmtId="0" fontId="2" fillId="4" borderId="2" applyNumberFormat="0" applyFont="1" applyFill="1" applyBorder="1" applyAlignment="1" applyProtection="0">
      <alignment vertical="bottom"/>
    </xf>
    <xf numFmtId="0" fontId="2" borderId="4" applyNumberFormat="0" applyFont="1" applyFill="0" applyBorder="1" applyAlignment="1" applyProtection="0">
      <alignment vertical="bottom"/>
    </xf>
    <xf numFmtId="0" fontId="2" fillId="4" borderId="5" applyNumberFormat="0" applyFont="1" applyFill="1" applyBorder="1" applyAlignment="1" applyProtection="0">
      <alignment vertical="bottom"/>
    </xf>
    <xf numFmtId="0" fontId="2" fillId="4" borderId="6" applyNumberFormat="0" applyFont="1" applyFill="1" applyBorder="1" applyAlignment="1" applyProtection="0">
      <alignment vertical="bottom"/>
    </xf>
    <xf numFmtId="49" fontId="10" fillId="7" borderId="3" applyNumberFormat="1" applyFont="1" applyFill="1" applyBorder="1" applyAlignment="1" applyProtection="0">
      <alignment horizontal="left" vertical="bottom"/>
    </xf>
    <xf numFmtId="0" fontId="2" fillId="4" borderId="4" applyNumberFormat="0" applyFont="1" applyFill="1" applyBorder="1" applyAlignment="1" applyProtection="0">
      <alignment vertical="bottom"/>
    </xf>
    <xf numFmtId="49" fontId="11" fillId="6" borderId="3" applyNumberFormat="1" applyFont="1" applyFill="1" applyBorder="1" applyAlignment="1" applyProtection="0">
      <alignment horizontal="left" vertical="bottom"/>
    </xf>
    <xf numFmtId="0" fontId="0" applyNumberFormat="1" applyFont="1" applyFill="0" applyBorder="0" applyAlignment="1" applyProtection="0">
      <alignment vertical="bottom"/>
    </xf>
    <xf numFmtId="0" fontId="10" fillId="4" borderId="3" applyNumberFormat="0" applyFont="1" applyFill="1" applyBorder="1" applyAlignment="1" applyProtection="0">
      <alignment vertical="bottom"/>
    </xf>
    <xf numFmtId="49" fontId="21" fillId="4" borderId="3" applyNumberFormat="1" applyFont="1" applyFill="1" applyBorder="1" applyAlignment="1" applyProtection="0">
      <alignment horizontal="left" vertical="bottom"/>
    </xf>
    <xf numFmtId="49" fontId="22" fillId="4" borderId="3" applyNumberFormat="1" applyFont="1" applyFill="1" applyBorder="1" applyAlignment="1" applyProtection="0">
      <alignment horizontal="left" vertical="bottom"/>
    </xf>
    <xf numFmtId="49" fontId="23" fillId="4" borderId="3" applyNumberFormat="1" applyFont="1" applyFill="1" applyBorder="1" applyAlignment="1" applyProtection="0">
      <alignment horizontal="left" vertical="bottom"/>
    </xf>
    <xf numFmtId="49" fontId="23" fillId="4" borderId="3" applyNumberFormat="1" applyFont="1" applyFill="1" applyBorder="1" applyAlignment="1" applyProtection="0">
      <alignment horizontal="left" vertical="bottom" wrapText="1"/>
    </xf>
    <xf numFmtId="0" fontId="23" fillId="4" borderId="3" applyNumberFormat="0" applyFont="1" applyFill="1" applyBorder="1" applyAlignment="1" applyProtection="0">
      <alignment horizontal="left" vertical="bottom"/>
    </xf>
    <xf numFmtId="0" fontId="0" applyNumberFormat="1" applyFont="1" applyFill="0" applyBorder="0" applyAlignment="1" applyProtection="0">
      <alignment vertical="bottom"/>
    </xf>
    <xf numFmtId="49" fontId="10" fillId="4" borderId="2" applyNumberFormat="1" applyFont="1" applyFill="1" applyBorder="1" applyAlignment="1" applyProtection="0">
      <alignment vertical="bottom"/>
    </xf>
    <xf numFmtId="1" fontId="10" fillId="5" borderId="3" applyNumberFormat="1" applyFont="1" applyFill="1" applyBorder="1" applyAlignment="1" applyProtection="0">
      <alignment vertical="bottom"/>
    </xf>
    <xf numFmtId="0" fontId="10" fillId="5" borderId="3" applyNumberFormat="0" applyFont="1" applyFill="1" applyBorder="1" applyAlignment="1" applyProtection="0">
      <alignment vertical="bottom"/>
    </xf>
    <xf numFmtId="61" fontId="10" fillId="4" borderId="5" applyNumberFormat="1" applyFont="1" applyFill="1" applyBorder="1" applyAlignment="1" applyProtection="0">
      <alignment vertical="bottom"/>
    </xf>
    <xf numFmtId="0" fontId="10" fillId="4" borderId="5" applyNumberFormat="1" applyFont="1" applyFill="1" applyBorder="1" applyAlignment="1" applyProtection="0">
      <alignment vertical="bottom"/>
    </xf>
    <xf numFmtId="61" fontId="10" fillId="4" borderId="1" applyNumberFormat="1" applyFont="1" applyFill="1" applyBorder="1" applyAlignment="1" applyProtection="0">
      <alignment vertical="bottom"/>
    </xf>
    <xf numFmtId="0" fontId="10" fillId="4" borderId="1" applyNumberFormat="1" applyFont="1" applyFill="1" applyBorder="1" applyAlignment="1" applyProtection="0">
      <alignment vertical="bottom"/>
    </xf>
    <xf numFmtId="49" fontId="11" fillId="4" borderId="2" applyNumberFormat="1" applyFont="1" applyFill="1" applyBorder="1" applyAlignment="1" applyProtection="0">
      <alignment vertical="top" wrapText="1"/>
    </xf>
    <xf numFmtId="49" fontId="11" fillId="6" borderId="3" applyNumberFormat="1" applyFont="1" applyFill="1" applyBorder="1" applyAlignment="1" applyProtection="0">
      <alignment vertical="bottom"/>
    </xf>
    <xf numFmtId="1" fontId="10" fillId="5"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0" fillId="4" borderId="3" applyNumberFormat="1" applyFont="1" applyFill="1" applyBorder="1" applyAlignment="1" applyProtection="0">
      <alignment vertical="bottom" wrapText="1"/>
    </xf>
    <xf numFmtId="49" fontId="10" fillId="4" borderId="3" applyNumberFormat="1" applyFont="1" applyFill="1"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2f5597"/>
      <rgbColor rgb="ffffffff"/>
      <rgbColor rgb="ffaaaaaa"/>
      <rgbColor rgb="ff595959"/>
      <rgbColor rgb="ff1f3864"/>
      <rgbColor rgb="ffbfbfbf"/>
      <rgbColor rgb="ffe2efda"/>
      <rgbColor rgb="fffff2cc"/>
      <rgbColor rgb="ffddebf7"/>
      <rgbColor rgb="ff0c0c0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9</v>
      </c>
      <c r="C11" s="3"/>
      <c r="D11" s="3"/>
    </row>
    <row r="12">
      <c r="B12" s="4"/>
      <c r="C12" t="s" s="4">
        <v>5</v>
      </c>
      <c r="D12" t="s" s="5">
        <v>9</v>
      </c>
    </row>
    <row r="13">
      <c r="B13" t="s" s="3">
        <v>11</v>
      </c>
      <c r="C13" s="3"/>
      <c r="D13" s="3"/>
    </row>
    <row r="14">
      <c r="B14" s="4"/>
      <c r="C14" t="s" s="4">
        <v>5</v>
      </c>
      <c r="D14" t="s" s="5">
        <v>11</v>
      </c>
    </row>
    <row r="15">
      <c r="B15" t="s" s="3">
        <v>13</v>
      </c>
      <c r="C15" s="3"/>
      <c r="D15" s="3"/>
    </row>
    <row r="16">
      <c r="B16" s="4"/>
      <c r="C16" t="s" s="4">
        <v>5</v>
      </c>
      <c r="D16" t="s" s="5">
        <v>13</v>
      </c>
    </row>
    <row r="17">
      <c r="B17" t="s" s="3">
        <v>15</v>
      </c>
      <c r="C17" s="3"/>
      <c r="D17" s="3"/>
    </row>
    <row r="18">
      <c r="B18" s="4"/>
      <c r="C18" t="s" s="4">
        <v>5</v>
      </c>
      <c r="D18" t="s" s="5">
        <v>15</v>
      </c>
    </row>
    <row r="19">
      <c r="B19" t="s" s="3">
        <v>17</v>
      </c>
      <c r="C19" s="3"/>
      <c r="D19" s="3"/>
    </row>
    <row r="20">
      <c r="B20" s="4"/>
      <c r="C20" t="s" s="4">
        <v>5</v>
      </c>
      <c r="D20" t="s" s="5">
        <v>17</v>
      </c>
    </row>
    <row r="21">
      <c r="B21" t="s" s="3">
        <v>19</v>
      </c>
      <c r="C21" s="3"/>
      <c r="D21" s="3"/>
    </row>
    <row r="22">
      <c r="B22" s="4"/>
      <c r="C22" t="s" s="4">
        <v>5</v>
      </c>
      <c r="D22" t="s" s="5">
        <v>19</v>
      </c>
    </row>
    <row r="23">
      <c r="B23" t="s" s="3">
        <v>21</v>
      </c>
      <c r="C23" s="3"/>
      <c r="D23" s="3"/>
    </row>
    <row r="24">
      <c r="B24" s="4"/>
      <c r="C24" t="s" s="4">
        <v>5</v>
      </c>
      <c r="D24" t="s" s="5">
        <v>21</v>
      </c>
    </row>
    <row r="25">
      <c r="B25" t="s" s="3">
        <v>23</v>
      </c>
      <c r="C25" s="3"/>
      <c r="D25" s="3"/>
    </row>
    <row r="26">
      <c r="B26" s="4"/>
      <c r="C26" t="s" s="4">
        <v>5</v>
      </c>
      <c r="D26" t="s" s="5">
        <v>23</v>
      </c>
    </row>
  </sheetData>
  <mergeCells count="1">
    <mergeCell ref="B3:D3"/>
  </mergeCells>
  <hyperlinks>
    <hyperlink ref="D10" location="'Start'!R1C1" tooltip="" display="Start"/>
    <hyperlink ref="D12" location="'Stammdaten_Artikel'!R1C1" tooltip="" display="Stammdaten_Artikel"/>
    <hyperlink ref="D14" location="'Stammdaten_Mitarbeiter'!R1C1" tooltip="" display="Stammdaten_Mitarbeiter"/>
    <hyperlink ref="D16" location="'Bestellungen'!R1C1" tooltip="" display="Bestellungen"/>
    <hyperlink ref="D18" location="'01_SVERWEIS_WVERWEIS'!R1C1" tooltip="" display="01_SVERWEIS_WVERWEIS"/>
    <hyperlink ref="D20" location="'02_INDEX_VERGLEICH'!R1C1" tooltip="" display="02_INDEX_VERGLEICH"/>
    <hyperlink ref="D22" location="'03_XVERWEIS_XVERGLEICH'!R1C1" tooltip="" display="03_XVERWEIS_XVERGLEICH"/>
    <hyperlink ref="D24" location="'04_Dynamische_Arrays'!R1C1" tooltip="" display="04_Dynamische_Arrays"/>
    <hyperlink ref="D26" location="'Loesungen'!R1C1" tooltip="" display="Loesungen"/>
  </hyperlinks>
</worksheet>
</file>

<file path=xl/worksheets/sheet2.xml><?xml version="1.0" encoding="utf-8"?>
<worksheet xmlns:r="http://schemas.openxmlformats.org/officeDocument/2006/relationships" xmlns="http://schemas.openxmlformats.org/spreadsheetml/2006/main">
  <dimension ref="A1:F22"/>
  <sheetViews>
    <sheetView workbookViewId="0" showGridLines="0" defaultGridColor="1"/>
  </sheetViews>
  <sheetFormatPr defaultColWidth="8.66667" defaultRowHeight="15" customHeight="1" outlineLevelRow="0" outlineLevelCol="0"/>
  <cols>
    <col min="1" max="1" width="102.352" style="6" customWidth="1"/>
    <col min="2" max="2" width="22" style="6" customWidth="1"/>
    <col min="3" max="6" width="14" style="6" customWidth="1"/>
    <col min="7" max="16384" width="8.67188" style="6" customWidth="1"/>
  </cols>
  <sheetData>
    <row r="1" ht="18.5" customHeight="1">
      <c r="A1" t="s" s="7">
        <v>6</v>
      </c>
      <c r="B1" s="8"/>
      <c r="C1" s="8"/>
      <c r="D1" s="8"/>
      <c r="E1" s="8"/>
      <c r="F1" s="8"/>
    </row>
    <row r="2" ht="30" customHeight="1">
      <c r="A2" t="s" s="9">
        <v>7</v>
      </c>
      <c r="B2" s="10"/>
      <c r="C2" s="10"/>
      <c r="D2" s="10"/>
      <c r="E2" s="10"/>
      <c r="F2" s="10"/>
    </row>
    <row r="3" ht="13.55" customHeight="1">
      <c r="A3" s="8"/>
      <c r="B3" s="8"/>
      <c r="C3" s="8"/>
      <c r="D3" s="8"/>
      <c r="E3" s="8"/>
      <c r="F3" s="8"/>
    </row>
    <row r="4" ht="16.6" customHeight="1">
      <c r="A4" t="s" s="11">
        <v>8</v>
      </c>
      <c r="B4" s="8"/>
      <c r="C4" s="8"/>
      <c r="D4" s="8"/>
      <c r="E4" s="8"/>
      <c r="F4" s="8"/>
    </row>
    <row r="5" ht="27.75" customHeight="1">
      <c r="A5" t="s" s="12">
        <v>9</v>
      </c>
      <c r="B5" t="s" s="13">
        <v>10</v>
      </c>
      <c r="C5" s="14"/>
      <c r="D5" s="14"/>
      <c r="E5" s="14"/>
      <c r="F5" s="14"/>
    </row>
    <row r="6" ht="27.75" customHeight="1">
      <c r="A6" t="s" s="12">
        <v>11</v>
      </c>
      <c r="B6" t="s" s="13">
        <v>12</v>
      </c>
      <c r="C6" s="14"/>
      <c r="D6" s="14"/>
      <c r="E6" s="14"/>
      <c r="F6" s="14"/>
    </row>
    <row r="7" ht="27.75" customHeight="1">
      <c r="A7" t="s" s="12">
        <v>13</v>
      </c>
      <c r="B7" t="s" s="13">
        <v>14</v>
      </c>
      <c r="C7" s="14"/>
      <c r="D7" s="14"/>
      <c r="E7" s="14"/>
      <c r="F7" s="14"/>
    </row>
    <row r="8" ht="27.75" customHeight="1">
      <c r="A8" t="s" s="12">
        <v>15</v>
      </c>
      <c r="B8" t="s" s="13">
        <v>16</v>
      </c>
      <c r="C8" s="14"/>
      <c r="D8" s="14"/>
      <c r="E8" s="14"/>
      <c r="F8" s="14"/>
    </row>
    <row r="9" ht="27.75" customHeight="1">
      <c r="A9" t="s" s="12">
        <v>17</v>
      </c>
      <c r="B9" t="s" s="13">
        <v>18</v>
      </c>
      <c r="C9" s="14"/>
      <c r="D9" s="14"/>
      <c r="E9" s="14"/>
      <c r="F9" s="14"/>
    </row>
    <row r="10" ht="27.75" customHeight="1">
      <c r="A10" t="s" s="12">
        <v>19</v>
      </c>
      <c r="B10" t="s" s="13">
        <v>20</v>
      </c>
      <c r="C10" s="14"/>
      <c r="D10" s="14"/>
      <c r="E10" s="14"/>
      <c r="F10" s="14"/>
    </row>
    <row r="11" ht="27.75" customHeight="1">
      <c r="A11" t="s" s="12">
        <v>21</v>
      </c>
      <c r="B11" t="s" s="13">
        <v>22</v>
      </c>
      <c r="C11" s="14"/>
      <c r="D11" s="14"/>
      <c r="E11" s="14"/>
      <c r="F11" s="14"/>
    </row>
    <row r="12" ht="27.75" customHeight="1">
      <c r="A12" t="s" s="12">
        <v>23</v>
      </c>
      <c r="B12" t="s" s="13">
        <v>24</v>
      </c>
      <c r="C12" s="14"/>
      <c r="D12" s="14"/>
      <c r="E12" s="14"/>
      <c r="F12" s="14"/>
    </row>
    <row r="13" ht="13.55" customHeight="1">
      <c r="A13" s="8"/>
      <c r="B13" s="8"/>
      <c r="C13" s="8"/>
      <c r="D13" s="8"/>
      <c r="E13" s="8"/>
      <c r="F13" s="8"/>
    </row>
    <row r="14" ht="13.55" customHeight="1">
      <c r="A14" s="8"/>
      <c r="B14" s="8"/>
      <c r="C14" s="8"/>
      <c r="D14" s="8"/>
      <c r="E14" s="8"/>
      <c r="F14" s="8"/>
    </row>
    <row r="15" ht="16.6" customHeight="1">
      <c r="A15" t="s" s="15">
        <v>25</v>
      </c>
      <c r="B15" s="8"/>
      <c r="C15" s="8"/>
      <c r="D15" s="8"/>
      <c r="E15" s="8"/>
      <c r="F15" s="8"/>
    </row>
    <row r="16" ht="15" customHeight="1">
      <c r="A16" s="16"/>
      <c r="B16" t="s" s="17">
        <v>26</v>
      </c>
      <c r="C16" s="14"/>
      <c r="D16" s="14"/>
      <c r="E16" s="14"/>
      <c r="F16" s="14"/>
    </row>
    <row r="17" ht="15" customHeight="1">
      <c r="A17" s="18"/>
      <c r="B17" t="s" s="17">
        <v>27</v>
      </c>
      <c r="C17" s="14"/>
      <c r="D17" s="14"/>
      <c r="E17" s="14"/>
      <c r="F17" s="14"/>
    </row>
    <row r="18" ht="15" customHeight="1">
      <c r="A18" s="19"/>
      <c r="B18" t="s" s="17">
        <v>28</v>
      </c>
      <c r="C18" s="14"/>
      <c r="D18" s="14"/>
      <c r="E18" s="14"/>
      <c r="F18" s="14"/>
    </row>
    <row r="19" ht="13.55" customHeight="1">
      <c r="A19" s="20"/>
      <c r="B19" s="8"/>
      <c r="C19" s="8"/>
      <c r="D19" s="8"/>
      <c r="E19" s="8"/>
      <c r="F19" s="8"/>
    </row>
    <row r="20" ht="13.55" customHeight="1">
      <c r="A20" s="8"/>
      <c r="B20" s="8"/>
      <c r="C20" s="8"/>
      <c r="D20" s="8"/>
      <c r="E20" s="8"/>
      <c r="F20" s="8"/>
    </row>
    <row r="21" ht="16.6" customHeight="1">
      <c r="A21" t="s" s="11">
        <v>29</v>
      </c>
      <c r="B21" s="8"/>
      <c r="C21" s="8"/>
      <c r="D21" s="8"/>
      <c r="E21" s="8"/>
      <c r="F21" s="8"/>
    </row>
    <row r="22" ht="45" customHeight="1">
      <c r="A22" t="s" s="9">
        <v>30</v>
      </c>
      <c r="B22" s="10"/>
      <c r="C22" s="10"/>
      <c r="D22" s="10"/>
      <c r="E22" s="10"/>
      <c r="F22" s="10"/>
    </row>
  </sheetData>
  <mergeCells count="13">
    <mergeCell ref="A2:F2"/>
    <mergeCell ref="B5:F5"/>
    <mergeCell ref="B6:F6"/>
    <mergeCell ref="B7:F7"/>
    <mergeCell ref="B8:F8"/>
    <mergeCell ref="B9:F9"/>
    <mergeCell ref="B10:F10"/>
    <mergeCell ref="B11:F11"/>
    <mergeCell ref="B12:F12"/>
    <mergeCell ref="B16:F16"/>
    <mergeCell ref="B17:F17"/>
    <mergeCell ref="B18:F18"/>
    <mergeCell ref="A22:F2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24"/>
  <sheetViews>
    <sheetView workbookViewId="0" showGridLines="0" defaultGridColor="1"/>
  </sheetViews>
  <sheetFormatPr defaultColWidth="8.66667" defaultRowHeight="15" customHeight="1" outlineLevelRow="0" outlineLevelCol="0"/>
  <cols>
    <col min="1" max="1" width="21.3828" style="21" customWidth="1"/>
    <col min="2" max="2" width="39.2031" style="21" customWidth="1"/>
    <col min="3" max="3" width="28.5078" style="21" customWidth="1"/>
    <col min="4" max="4" width="35.6406" style="21" customWidth="1"/>
    <col min="5" max="5" width="32.0703" style="21" customWidth="1"/>
    <col min="6" max="6" width="21.3828" style="21" customWidth="1"/>
    <col min="7" max="16384" width="8.67188" style="21" customWidth="1"/>
  </cols>
  <sheetData>
    <row r="1" ht="24.35" customHeight="1">
      <c r="A1" t="s" s="7">
        <v>31</v>
      </c>
      <c r="B1" s="22"/>
      <c r="C1" s="22"/>
      <c r="D1" s="22"/>
      <c r="E1" s="22"/>
      <c r="F1" s="22"/>
    </row>
    <row r="2" ht="74.7" customHeight="1">
      <c r="A2" t="s" s="23">
        <v>32</v>
      </c>
      <c r="B2" s="10"/>
      <c r="C2" s="10"/>
      <c r="D2" s="10"/>
      <c r="E2" s="10"/>
      <c r="F2" s="10"/>
    </row>
    <row r="3" ht="24.35" customHeight="1">
      <c r="A3" s="24"/>
      <c r="B3" s="24"/>
      <c r="C3" s="24"/>
      <c r="D3" s="24"/>
      <c r="E3" s="24"/>
      <c r="F3" s="24"/>
    </row>
    <row r="4" ht="24.35" customHeight="1">
      <c r="A4" t="s" s="25">
        <v>33</v>
      </c>
      <c r="B4" t="s" s="25">
        <v>34</v>
      </c>
      <c r="C4" t="s" s="25">
        <v>35</v>
      </c>
      <c r="D4" t="s" s="25">
        <v>36</v>
      </c>
      <c r="E4" t="s" s="25">
        <v>37</v>
      </c>
      <c r="F4" t="s" s="25">
        <v>38</v>
      </c>
    </row>
    <row r="5" ht="24.35" customHeight="1">
      <c r="A5" t="s" s="26">
        <v>39</v>
      </c>
      <c r="B5" t="s" s="26">
        <v>40</v>
      </c>
      <c r="C5" t="s" s="26">
        <v>41</v>
      </c>
      <c r="D5" t="s" s="26">
        <v>42</v>
      </c>
      <c r="E5" s="27">
        <v>650</v>
      </c>
      <c r="F5" t="s" s="26">
        <v>43</v>
      </c>
    </row>
    <row r="6" ht="24.35" customHeight="1">
      <c r="A6" t="s" s="26">
        <v>44</v>
      </c>
      <c r="B6" t="s" s="26">
        <v>45</v>
      </c>
      <c r="C6" t="s" s="26">
        <v>41</v>
      </c>
      <c r="D6" t="s" s="26">
        <v>42</v>
      </c>
      <c r="E6" s="27">
        <v>180</v>
      </c>
      <c r="F6" t="s" s="26">
        <v>43</v>
      </c>
    </row>
    <row r="7" ht="24.35" customHeight="1">
      <c r="A7" t="s" s="26">
        <v>46</v>
      </c>
      <c r="B7" t="s" s="26">
        <v>47</v>
      </c>
      <c r="C7" t="s" s="26">
        <v>41</v>
      </c>
      <c r="D7" t="s" s="26">
        <v>42</v>
      </c>
      <c r="E7" s="27">
        <v>35</v>
      </c>
      <c r="F7" t="s" s="26">
        <v>43</v>
      </c>
    </row>
    <row r="8" ht="24.35" customHeight="1">
      <c r="A8" t="s" s="26">
        <v>48</v>
      </c>
      <c r="B8" t="s" s="26">
        <v>49</v>
      </c>
      <c r="C8" t="s" s="26">
        <v>41</v>
      </c>
      <c r="D8" t="s" s="26">
        <v>42</v>
      </c>
      <c r="E8" s="27">
        <v>18</v>
      </c>
      <c r="F8" t="s" s="26">
        <v>43</v>
      </c>
    </row>
    <row r="9" ht="24.35" customHeight="1">
      <c r="A9" t="s" s="26">
        <v>50</v>
      </c>
      <c r="B9" t="s" s="26">
        <v>51</v>
      </c>
      <c r="C9" t="s" s="26">
        <v>52</v>
      </c>
      <c r="D9" t="s" s="26">
        <v>53</v>
      </c>
      <c r="E9" s="27">
        <v>8</v>
      </c>
      <c r="F9" t="s" s="26">
        <v>54</v>
      </c>
    </row>
    <row r="10" ht="24.35" customHeight="1">
      <c r="A10" t="s" s="26">
        <v>55</v>
      </c>
      <c r="B10" t="s" s="26">
        <v>56</v>
      </c>
      <c r="C10" t="s" s="26">
        <v>41</v>
      </c>
      <c r="D10" t="s" s="26">
        <v>42</v>
      </c>
      <c r="E10" s="27">
        <v>45</v>
      </c>
      <c r="F10" t="s" s="26">
        <v>43</v>
      </c>
    </row>
    <row r="11" ht="24.35" customHeight="1">
      <c r="A11" t="s" s="26">
        <v>57</v>
      </c>
      <c r="B11" t="s" s="26">
        <v>58</v>
      </c>
      <c r="C11" t="s" s="26">
        <v>59</v>
      </c>
      <c r="D11" t="s" s="26">
        <v>60</v>
      </c>
      <c r="E11" s="27">
        <v>6</v>
      </c>
      <c r="F11" t="s" s="26">
        <v>61</v>
      </c>
    </row>
    <row r="12" ht="24.35" customHeight="1">
      <c r="A12" t="s" s="26">
        <v>62</v>
      </c>
      <c r="B12" t="s" s="26">
        <v>63</v>
      </c>
      <c r="C12" t="s" s="26">
        <v>59</v>
      </c>
      <c r="D12" t="s" s="26">
        <v>60</v>
      </c>
      <c r="E12" s="27">
        <v>1</v>
      </c>
      <c r="F12" t="s" s="26">
        <v>61</v>
      </c>
    </row>
    <row r="13" ht="24.35" customHeight="1">
      <c r="A13" t="s" s="26">
        <v>64</v>
      </c>
      <c r="B13" t="s" s="26">
        <v>65</v>
      </c>
      <c r="C13" t="s" s="26">
        <v>59</v>
      </c>
      <c r="D13" t="s" s="26">
        <v>60</v>
      </c>
      <c r="E13" s="27">
        <v>2</v>
      </c>
      <c r="F13" t="s" s="26">
        <v>61</v>
      </c>
    </row>
    <row r="14" ht="24.35" customHeight="1">
      <c r="A14" t="s" s="26">
        <v>66</v>
      </c>
      <c r="B14" t="s" s="26">
        <v>67</v>
      </c>
      <c r="C14" t="s" s="26">
        <v>59</v>
      </c>
      <c r="D14" t="s" s="26">
        <v>68</v>
      </c>
      <c r="E14" s="27">
        <v>120</v>
      </c>
      <c r="F14" t="s" s="26">
        <v>69</v>
      </c>
    </row>
    <row r="15" ht="24.35" customHeight="1">
      <c r="A15" t="s" s="26">
        <v>70</v>
      </c>
      <c r="B15" t="s" s="26">
        <v>71</v>
      </c>
      <c r="C15" t="s" s="26">
        <v>72</v>
      </c>
      <c r="D15" t="s" s="26">
        <v>73</v>
      </c>
      <c r="E15" s="27">
        <v>95</v>
      </c>
      <c r="F15" t="s" s="26">
        <v>74</v>
      </c>
    </row>
    <row r="16" ht="24.35" customHeight="1">
      <c r="A16" t="s" s="26">
        <v>75</v>
      </c>
      <c r="B16" t="s" s="26">
        <v>76</v>
      </c>
      <c r="C16" t="s" s="26">
        <v>72</v>
      </c>
      <c r="D16" t="s" s="26">
        <v>73</v>
      </c>
      <c r="E16" s="27">
        <v>25</v>
      </c>
      <c r="F16" t="s" s="26">
        <v>74</v>
      </c>
    </row>
    <row r="17" ht="24.35" customHeight="1">
      <c r="A17" t="s" s="26">
        <v>77</v>
      </c>
      <c r="B17" t="s" s="26">
        <v>78</v>
      </c>
      <c r="C17" t="s" s="26">
        <v>72</v>
      </c>
      <c r="D17" t="s" s="26">
        <v>79</v>
      </c>
      <c r="E17" s="27">
        <v>12</v>
      </c>
      <c r="F17" t="s" s="26">
        <v>74</v>
      </c>
    </row>
    <row r="18" ht="24.35" customHeight="1">
      <c r="A18" t="s" s="26">
        <v>80</v>
      </c>
      <c r="B18" t="s" s="26">
        <v>81</v>
      </c>
      <c r="C18" t="s" s="26">
        <v>72</v>
      </c>
      <c r="D18" t="s" s="26">
        <v>79</v>
      </c>
      <c r="E18" s="27">
        <v>9</v>
      </c>
      <c r="F18" t="s" s="26">
        <v>74</v>
      </c>
    </row>
    <row r="19" ht="24.35" customHeight="1">
      <c r="A19" t="s" s="26">
        <v>82</v>
      </c>
      <c r="B19" t="s" s="26">
        <v>83</v>
      </c>
      <c r="C19" t="s" s="26">
        <v>84</v>
      </c>
      <c r="D19" t="s" s="26">
        <v>85</v>
      </c>
      <c r="E19" s="27">
        <v>0.8</v>
      </c>
      <c r="F19" t="s" s="26">
        <v>86</v>
      </c>
    </row>
    <row r="20" ht="24.35" customHeight="1">
      <c r="A20" t="s" s="26">
        <v>87</v>
      </c>
      <c r="B20" t="s" s="26">
        <v>88</v>
      </c>
      <c r="C20" t="s" s="26">
        <v>84</v>
      </c>
      <c r="D20" t="s" s="26">
        <v>85</v>
      </c>
      <c r="E20" s="27">
        <v>1.5</v>
      </c>
      <c r="F20" t="s" s="26">
        <v>86</v>
      </c>
    </row>
    <row r="21" ht="24.35" customHeight="1">
      <c r="A21" t="s" s="26">
        <v>89</v>
      </c>
      <c r="B21" t="s" s="26">
        <v>90</v>
      </c>
      <c r="C21" t="s" s="26">
        <v>84</v>
      </c>
      <c r="D21" t="s" s="26">
        <v>85</v>
      </c>
      <c r="E21" s="27">
        <v>3</v>
      </c>
      <c r="F21" t="s" s="26">
        <v>86</v>
      </c>
    </row>
    <row r="22" ht="24.35" customHeight="1">
      <c r="A22" t="s" s="26">
        <v>91</v>
      </c>
      <c r="B22" t="s" s="26">
        <v>92</v>
      </c>
      <c r="C22" t="s" s="26">
        <v>84</v>
      </c>
      <c r="D22" t="s" s="26">
        <v>85</v>
      </c>
      <c r="E22" s="27">
        <v>14</v>
      </c>
      <c r="F22" t="s" s="26">
        <v>93</v>
      </c>
    </row>
    <row r="23" ht="24.35" customHeight="1">
      <c r="A23" t="s" s="26">
        <v>94</v>
      </c>
      <c r="B23" t="s" s="26">
        <v>95</v>
      </c>
      <c r="C23" t="s" s="26">
        <v>52</v>
      </c>
      <c r="D23" t="s" s="26">
        <v>53</v>
      </c>
      <c r="E23" s="27">
        <v>75</v>
      </c>
      <c r="F23" t="s" s="26">
        <v>54</v>
      </c>
    </row>
    <row r="24" ht="24.35" customHeight="1">
      <c r="A24" t="s" s="26">
        <v>96</v>
      </c>
      <c r="B24" t="s" s="26">
        <v>97</v>
      </c>
      <c r="C24" t="s" s="26">
        <v>41</v>
      </c>
      <c r="D24" t="s" s="26">
        <v>42</v>
      </c>
      <c r="E24" s="27">
        <v>55</v>
      </c>
      <c r="F24" t="s" s="26">
        <v>43</v>
      </c>
    </row>
  </sheetData>
  <mergeCells count="1">
    <mergeCell ref="A2:F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66667" defaultRowHeight="15" customHeight="1" outlineLevelRow="0" outlineLevelCol="0"/>
  <cols>
    <col min="1" max="1" width="27.7578" style="28" customWidth="1"/>
    <col min="2" max="2" width="35.6719" style="28" customWidth="1"/>
    <col min="3" max="3" width="39.625" style="28" customWidth="1"/>
    <col min="4" max="4" width="31.7109" style="28" customWidth="1"/>
    <col min="5" max="5" width="17.1797" style="28" customWidth="1"/>
    <col min="6" max="16384" width="8.67188" style="28" customWidth="1"/>
  </cols>
  <sheetData>
    <row r="1" ht="43.4" customHeight="1">
      <c r="A1" t="s" s="7">
        <v>98</v>
      </c>
      <c r="B1" s="22"/>
      <c r="C1" s="22"/>
      <c r="D1" s="22"/>
      <c r="E1" s="29"/>
    </row>
    <row r="2" ht="55.85" customHeight="1">
      <c r="A2" t="s" s="23">
        <v>99</v>
      </c>
      <c r="B2" s="10"/>
      <c r="C2" s="10"/>
      <c r="D2" s="10"/>
      <c r="E2" s="29"/>
    </row>
    <row r="3" ht="31.75" customHeight="1">
      <c r="A3" s="24"/>
      <c r="B3" s="24"/>
      <c r="C3" s="24"/>
      <c r="D3" s="24"/>
      <c r="E3" s="29"/>
    </row>
    <row r="4" ht="34.25" customHeight="1">
      <c r="A4" t="s" s="25">
        <v>100</v>
      </c>
      <c r="B4" t="s" s="25">
        <v>101</v>
      </c>
      <c r="C4" t="s" s="25">
        <v>102</v>
      </c>
      <c r="D4" t="s" s="25">
        <v>103</v>
      </c>
      <c r="E4" s="30"/>
    </row>
    <row r="5" ht="34.25" customHeight="1">
      <c r="A5" t="s" s="26">
        <v>104</v>
      </c>
      <c r="B5" t="s" s="26">
        <v>105</v>
      </c>
      <c r="C5" t="s" s="26">
        <v>106</v>
      </c>
      <c r="D5" s="31">
        <v>32</v>
      </c>
      <c r="E5" s="30"/>
    </row>
    <row r="6" ht="34.25" customHeight="1">
      <c r="A6" t="s" s="26">
        <v>107</v>
      </c>
      <c r="B6" t="s" s="26">
        <v>108</v>
      </c>
      <c r="C6" t="s" s="26">
        <v>106</v>
      </c>
      <c r="D6" s="31">
        <v>32</v>
      </c>
      <c r="E6" s="30"/>
    </row>
    <row r="7" ht="34.25" customHeight="1">
      <c r="A7" t="s" s="26">
        <v>109</v>
      </c>
      <c r="B7" t="s" s="26">
        <v>110</v>
      </c>
      <c r="C7" t="s" s="26">
        <v>111</v>
      </c>
      <c r="D7" s="31">
        <v>28</v>
      </c>
      <c r="E7" s="30"/>
    </row>
    <row r="8" ht="34.25" customHeight="1">
      <c r="A8" t="s" s="26">
        <v>112</v>
      </c>
      <c r="B8" t="s" s="26">
        <v>113</v>
      </c>
      <c r="C8" t="s" s="26">
        <v>111</v>
      </c>
      <c r="D8" s="31">
        <v>28</v>
      </c>
      <c r="E8" s="30"/>
    </row>
    <row r="9" ht="34.25" customHeight="1">
      <c r="A9" t="s" s="26">
        <v>114</v>
      </c>
      <c r="B9" t="s" s="26">
        <v>115</v>
      </c>
      <c r="C9" t="s" s="26">
        <v>116</v>
      </c>
      <c r="D9" s="31">
        <v>26</v>
      </c>
      <c r="E9" s="30"/>
    </row>
    <row r="10" ht="34.25" customHeight="1">
      <c r="A10" t="s" s="26">
        <v>117</v>
      </c>
      <c r="B10" t="s" s="26">
        <v>118</v>
      </c>
      <c r="C10" t="s" s="26">
        <v>116</v>
      </c>
      <c r="D10" s="31">
        <v>26</v>
      </c>
      <c r="E10" s="30"/>
    </row>
    <row r="11" ht="34.25" customHeight="1">
      <c r="A11" t="s" s="26">
        <v>119</v>
      </c>
      <c r="B11" t="s" s="26">
        <v>120</v>
      </c>
      <c r="C11" t="s" s="26">
        <v>121</v>
      </c>
      <c r="D11" s="31">
        <v>34</v>
      </c>
      <c r="E11" s="30"/>
    </row>
    <row r="12" ht="34.25" customHeight="1">
      <c r="A12" t="s" s="26">
        <v>122</v>
      </c>
      <c r="B12" t="s" s="26">
        <v>123</v>
      </c>
      <c r="C12" t="s" s="26">
        <v>121</v>
      </c>
      <c r="D12" s="31">
        <v>34</v>
      </c>
      <c r="E12" s="30"/>
    </row>
    <row r="13" ht="34.25" customHeight="1">
      <c r="A13" t="s" s="26">
        <v>124</v>
      </c>
      <c r="B13" t="s" s="26">
        <v>125</v>
      </c>
      <c r="C13" t="s" s="26">
        <v>126</v>
      </c>
      <c r="D13" s="31">
        <v>27</v>
      </c>
      <c r="E13" s="30"/>
    </row>
    <row r="14" ht="34.25" customHeight="1">
      <c r="A14" t="s" s="26">
        <v>127</v>
      </c>
      <c r="B14" t="s" s="26">
        <v>128</v>
      </c>
      <c r="C14" t="s" s="26">
        <v>126</v>
      </c>
      <c r="D14" s="31">
        <v>27</v>
      </c>
      <c r="E14" s="30"/>
    </row>
  </sheetData>
  <mergeCells count="1">
    <mergeCell ref="A2:D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44"/>
  <sheetViews>
    <sheetView workbookViewId="0" showGridLines="0" defaultGridColor="1"/>
  </sheetViews>
  <sheetFormatPr defaultColWidth="8.66667" defaultRowHeight="15" customHeight="1" outlineLevelRow="0" outlineLevelCol="0"/>
  <cols>
    <col min="1" max="2" width="24.6641" style="32" customWidth="1"/>
    <col min="3" max="3" width="28.75" style="32" customWidth="1"/>
    <col min="4" max="4" width="20.5391" style="32" customWidth="1"/>
    <col min="5" max="5" width="28.75" style="32" customWidth="1"/>
    <col min="6" max="6" width="26.7109" style="32" customWidth="1"/>
    <col min="7" max="7" width="32.875" style="32" customWidth="1"/>
    <col min="8" max="16384" width="8.67188" style="32" customWidth="1"/>
  </cols>
  <sheetData>
    <row r="1" ht="23.6" customHeight="1">
      <c r="A1" t="s" s="7">
        <v>129</v>
      </c>
      <c r="B1" s="33"/>
      <c r="C1" s="33"/>
      <c r="D1" s="33"/>
      <c r="E1" s="33"/>
      <c r="F1" s="33"/>
      <c r="G1" s="33"/>
    </row>
    <row r="2" ht="30.35" customHeight="1">
      <c r="A2" t="s" s="9">
        <v>130</v>
      </c>
      <c r="B2" s="10"/>
      <c r="C2" s="10"/>
      <c r="D2" s="10"/>
      <c r="E2" s="10"/>
      <c r="F2" s="10"/>
      <c r="G2" s="10"/>
    </row>
    <row r="3" ht="17.25" customHeight="1">
      <c r="A3" s="34"/>
      <c r="B3" s="34"/>
      <c r="C3" s="34"/>
      <c r="D3" s="34"/>
      <c r="E3" s="34"/>
      <c r="F3" s="34"/>
      <c r="G3" s="34"/>
    </row>
    <row r="4" ht="18.6" customHeight="1">
      <c r="A4" t="s" s="35">
        <v>131</v>
      </c>
      <c r="B4" t="s" s="35">
        <v>33</v>
      </c>
      <c r="C4" t="s" s="35">
        <v>132</v>
      </c>
      <c r="D4" t="s" s="35">
        <v>133</v>
      </c>
      <c r="E4" t="s" s="35">
        <v>100</v>
      </c>
      <c r="F4" t="s" s="35">
        <v>134</v>
      </c>
      <c r="G4" t="s" s="35">
        <v>135</v>
      </c>
    </row>
    <row r="5" ht="18.6" customHeight="1">
      <c r="A5" t="s" s="36">
        <v>136</v>
      </c>
      <c r="B5" t="s" s="36">
        <v>48</v>
      </c>
      <c r="C5" s="37">
        <v>46030</v>
      </c>
      <c r="D5" s="38">
        <v>12</v>
      </c>
      <c r="E5" t="s" s="36">
        <v>112</v>
      </c>
      <c r="F5" t="s" s="36">
        <v>137</v>
      </c>
      <c r="G5" s="38">
        <v>3</v>
      </c>
    </row>
    <row r="6" ht="18.6" customHeight="1">
      <c r="A6" t="s" s="36">
        <v>138</v>
      </c>
      <c r="B6" t="s" s="36">
        <v>48</v>
      </c>
      <c r="C6" s="37">
        <v>46096</v>
      </c>
      <c r="D6" s="38">
        <v>5</v>
      </c>
      <c r="E6" t="s" s="36">
        <v>127</v>
      </c>
      <c r="F6" t="s" s="36">
        <v>139</v>
      </c>
      <c r="G6" s="38">
        <v>6</v>
      </c>
    </row>
    <row r="7" ht="18.6" customHeight="1">
      <c r="A7" t="s" s="36">
        <v>140</v>
      </c>
      <c r="B7" t="s" s="36">
        <v>39</v>
      </c>
      <c r="C7" s="37">
        <v>46040</v>
      </c>
      <c r="D7" s="38">
        <v>5</v>
      </c>
      <c r="E7" t="s" s="36">
        <v>104</v>
      </c>
      <c r="F7" t="s" s="36">
        <v>137</v>
      </c>
      <c r="G7" s="38">
        <v>3</v>
      </c>
    </row>
    <row r="8" ht="18.6" customHeight="1">
      <c r="A8" t="s" s="36">
        <v>141</v>
      </c>
      <c r="B8" t="s" s="36">
        <v>96</v>
      </c>
      <c r="C8" s="37">
        <v>46030</v>
      </c>
      <c r="D8" s="38">
        <v>30</v>
      </c>
      <c r="E8" t="s" s="36">
        <v>112</v>
      </c>
      <c r="F8" t="s" s="36">
        <v>142</v>
      </c>
      <c r="G8" s="38"/>
    </row>
    <row r="9" ht="18.6" customHeight="1">
      <c r="A9" t="s" s="36">
        <v>143</v>
      </c>
      <c r="B9" t="s" s="36">
        <v>91</v>
      </c>
      <c r="C9" s="37">
        <v>46080</v>
      </c>
      <c r="D9" s="38">
        <v>10</v>
      </c>
      <c r="E9" t="s" s="36">
        <v>122</v>
      </c>
      <c r="F9" t="s" s="36">
        <v>144</v>
      </c>
      <c r="G9" s="38"/>
    </row>
    <row r="10" ht="18.6" customHeight="1">
      <c r="A10" t="s" s="36">
        <v>145</v>
      </c>
      <c r="B10" t="s" s="36">
        <v>64</v>
      </c>
      <c r="C10" s="37">
        <v>46027</v>
      </c>
      <c r="D10" s="38">
        <v>8</v>
      </c>
      <c r="E10" t="s" s="36">
        <v>119</v>
      </c>
      <c r="F10" t="s" s="36">
        <v>137</v>
      </c>
      <c r="G10" s="38">
        <v>4</v>
      </c>
    </row>
    <row r="11" ht="18.6" customHeight="1">
      <c r="A11" t="s" s="36">
        <v>146</v>
      </c>
      <c r="B11" t="s" s="36">
        <v>50</v>
      </c>
      <c r="C11" s="37">
        <v>46054</v>
      </c>
      <c r="D11" s="38">
        <v>15</v>
      </c>
      <c r="E11" t="s" s="36">
        <v>107</v>
      </c>
      <c r="F11" t="s" s="36">
        <v>137</v>
      </c>
      <c r="G11" s="38">
        <v>5</v>
      </c>
    </row>
    <row r="12" ht="18.6" customHeight="1">
      <c r="A12" t="s" s="36">
        <v>147</v>
      </c>
      <c r="B12" t="s" s="36">
        <v>48</v>
      </c>
      <c r="C12" s="37">
        <v>46072</v>
      </c>
      <c r="D12" s="38">
        <v>15</v>
      </c>
      <c r="E12" t="s" s="36">
        <v>127</v>
      </c>
      <c r="F12" t="s" s="36">
        <v>137</v>
      </c>
      <c r="G12" s="38">
        <v>2</v>
      </c>
    </row>
    <row r="13" ht="18.6" customHeight="1">
      <c r="A13" t="s" s="36">
        <v>148</v>
      </c>
      <c r="B13" t="s" s="36">
        <v>82</v>
      </c>
      <c r="C13" s="37">
        <v>46095</v>
      </c>
      <c r="D13" s="38">
        <v>5</v>
      </c>
      <c r="E13" t="s" s="36">
        <v>119</v>
      </c>
      <c r="F13" t="s" s="36">
        <v>137</v>
      </c>
      <c r="G13" s="38">
        <v>4</v>
      </c>
    </row>
    <row r="14" ht="18.6" customHeight="1">
      <c r="A14" t="s" s="36">
        <v>149</v>
      </c>
      <c r="B14" t="s" s="36">
        <v>96</v>
      </c>
      <c r="C14" s="37">
        <v>46073</v>
      </c>
      <c r="D14" s="38">
        <v>40</v>
      </c>
      <c r="E14" t="s" s="36">
        <v>112</v>
      </c>
      <c r="F14" t="s" s="36">
        <v>142</v>
      </c>
      <c r="G14" s="38"/>
    </row>
    <row r="15" ht="18.6" customHeight="1">
      <c r="A15" t="s" s="36">
        <v>150</v>
      </c>
      <c r="B15" t="s" s="36">
        <v>46</v>
      </c>
      <c r="C15" s="37">
        <v>46032</v>
      </c>
      <c r="D15" s="38">
        <v>50</v>
      </c>
      <c r="E15" t="s" s="36">
        <v>112</v>
      </c>
      <c r="F15" t="s" s="36">
        <v>137</v>
      </c>
      <c r="G15" s="38">
        <v>2</v>
      </c>
    </row>
    <row r="16" ht="18.6" customHeight="1">
      <c r="A16" t="s" s="36">
        <v>151</v>
      </c>
      <c r="B16" t="s" s="36">
        <v>62</v>
      </c>
      <c r="C16" s="37">
        <v>46039</v>
      </c>
      <c r="D16" s="38">
        <v>20</v>
      </c>
      <c r="E16" t="s" s="36">
        <v>114</v>
      </c>
      <c r="F16" t="s" s="36">
        <v>139</v>
      </c>
      <c r="G16" s="38">
        <v>11</v>
      </c>
    </row>
    <row r="17" ht="18.6" customHeight="1">
      <c r="A17" t="s" s="36">
        <v>152</v>
      </c>
      <c r="B17" t="s" s="36">
        <v>55</v>
      </c>
      <c r="C17" s="37">
        <v>46074</v>
      </c>
      <c r="D17" s="38">
        <v>15</v>
      </c>
      <c r="E17" t="s" s="36">
        <v>112</v>
      </c>
      <c r="F17" t="s" s="36">
        <v>142</v>
      </c>
      <c r="G17" s="38"/>
    </row>
    <row r="18" ht="18.6" customHeight="1">
      <c r="A18" t="s" s="36">
        <v>153</v>
      </c>
      <c r="B18" t="s" s="36">
        <v>64</v>
      </c>
      <c r="C18" s="37">
        <v>46109</v>
      </c>
      <c r="D18" s="38">
        <v>5</v>
      </c>
      <c r="E18" t="s" s="36">
        <v>127</v>
      </c>
      <c r="F18" t="s" s="36">
        <v>142</v>
      </c>
      <c r="G18" s="38"/>
    </row>
    <row r="19" ht="18.6" customHeight="1">
      <c r="A19" t="s" s="36">
        <v>154</v>
      </c>
      <c r="B19" t="s" s="36">
        <v>55</v>
      </c>
      <c r="C19" s="37">
        <v>46095</v>
      </c>
      <c r="D19" s="38">
        <v>10</v>
      </c>
      <c r="E19" t="s" s="36">
        <v>109</v>
      </c>
      <c r="F19" t="s" s="36">
        <v>139</v>
      </c>
      <c r="G19" s="38">
        <v>12</v>
      </c>
    </row>
    <row r="20" ht="18.6" customHeight="1">
      <c r="A20" t="s" s="36">
        <v>155</v>
      </c>
      <c r="B20" t="s" s="36">
        <v>39</v>
      </c>
      <c r="C20" s="37">
        <v>46063</v>
      </c>
      <c r="D20" s="38">
        <v>10</v>
      </c>
      <c r="E20" t="s" s="36">
        <v>107</v>
      </c>
      <c r="F20" t="s" s="36">
        <v>139</v>
      </c>
      <c r="G20" s="38">
        <v>9</v>
      </c>
    </row>
    <row r="21" ht="18.6" customHeight="1">
      <c r="A21" t="s" s="36">
        <v>156</v>
      </c>
      <c r="B21" t="s" s="36">
        <v>70</v>
      </c>
      <c r="C21" s="37">
        <v>46034</v>
      </c>
      <c r="D21" s="38">
        <v>10</v>
      </c>
      <c r="E21" t="s" s="36">
        <v>104</v>
      </c>
      <c r="F21" t="s" s="36">
        <v>137</v>
      </c>
      <c r="G21" s="38">
        <v>5</v>
      </c>
    </row>
    <row r="22" ht="18.6" customHeight="1">
      <c r="A22" t="s" s="36">
        <v>157</v>
      </c>
      <c r="B22" t="s" s="36">
        <v>64</v>
      </c>
      <c r="C22" s="37">
        <v>46035</v>
      </c>
      <c r="D22" s="38">
        <v>10</v>
      </c>
      <c r="E22" t="s" s="36">
        <v>127</v>
      </c>
      <c r="F22" t="s" s="36">
        <v>142</v>
      </c>
      <c r="G22" s="38"/>
    </row>
    <row r="23" ht="18.6" customHeight="1">
      <c r="A23" t="s" s="36">
        <v>158</v>
      </c>
      <c r="B23" t="s" s="36">
        <v>70</v>
      </c>
      <c r="C23" s="37">
        <v>46054</v>
      </c>
      <c r="D23" s="38">
        <v>50</v>
      </c>
      <c r="E23" t="s" s="36">
        <v>122</v>
      </c>
      <c r="F23" t="s" s="36">
        <v>139</v>
      </c>
      <c r="G23" s="38">
        <v>13</v>
      </c>
    </row>
    <row r="24" ht="18.6" customHeight="1">
      <c r="A24" t="s" s="36">
        <v>159</v>
      </c>
      <c r="B24" t="s" s="36">
        <v>50</v>
      </c>
      <c r="C24" s="37">
        <v>46060</v>
      </c>
      <c r="D24" s="38">
        <v>8</v>
      </c>
      <c r="E24" t="s" s="36">
        <v>112</v>
      </c>
      <c r="F24" t="s" s="36">
        <v>142</v>
      </c>
      <c r="G24" s="38"/>
    </row>
    <row r="25" ht="18.6" customHeight="1">
      <c r="A25" t="s" s="36">
        <v>160</v>
      </c>
      <c r="B25" t="s" s="36">
        <v>91</v>
      </c>
      <c r="C25" s="37">
        <v>46095</v>
      </c>
      <c r="D25" s="38">
        <v>12</v>
      </c>
      <c r="E25" t="s" s="36">
        <v>127</v>
      </c>
      <c r="F25" t="s" s="36">
        <v>139</v>
      </c>
      <c r="G25" s="38">
        <v>12</v>
      </c>
    </row>
    <row r="26" ht="18.6" customHeight="1">
      <c r="A26" t="s" s="36">
        <v>161</v>
      </c>
      <c r="B26" t="s" s="36">
        <v>75</v>
      </c>
      <c r="C26" s="37">
        <v>46055</v>
      </c>
      <c r="D26" s="38">
        <v>8</v>
      </c>
      <c r="E26" t="s" s="36">
        <v>124</v>
      </c>
      <c r="F26" t="s" s="36">
        <v>139</v>
      </c>
      <c r="G26" s="38">
        <v>7</v>
      </c>
    </row>
    <row r="27" ht="18.6" customHeight="1">
      <c r="A27" t="s" s="36">
        <v>162</v>
      </c>
      <c r="B27" t="s" s="36">
        <v>44</v>
      </c>
      <c r="C27" s="37">
        <v>46041</v>
      </c>
      <c r="D27" s="38">
        <v>8</v>
      </c>
      <c r="E27" t="s" s="36">
        <v>109</v>
      </c>
      <c r="F27" t="s" s="36">
        <v>142</v>
      </c>
      <c r="G27" s="38"/>
    </row>
    <row r="28" ht="18.6" customHeight="1">
      <c r="A28" t="s" s="36">
        <v>163</v>
      </c>
      <c r="B28" t="s" s="36">
        <v>80</v>
      </c>
      <c r="C28" s="37">
        <v>46103</v>
      </c>
      <c r="D28" s="38">
        <v>5</v>
      </c>
      <c r="E28" t="s" s="36">
        <v>119</v>
      </c>
      <c r="F28" t="s" s="36">
        <v>139</v>
      </c>
      <c r="G28" s="38">
        <v>13</v>
      </c>
    </row>
    <row r="29" ht="18.6" customHeight="1">
      <c r="A29" t="s" s="36">
        <v>164</v>
      </c>
      <c r="B29" t="s" s="36">
        <v>89</v>
      </c>
      <c r="C29" s="37">
        <v>46059</v>
      </c>
      <c r="D29" s="38">
        <v>30</v>
      </c>
      <c r="E29" t="s" s="36">
        <v>104</v>
      </c>
      <c r="F29" t="s" s="36">
        <v>142</v>
      </c>
      <c r="G29" s="38"/>
    </row>
    <row r="30" ht="18.6" customHeight="1">
      <c r="A30" t="s" s="36">
        <v>165</v>
      </c>
      <c r="B30" t="s" s="36">
        <v>48</v>
      </c>
      <c r="C30" s="37">
        <v>46095</v>
      </c>
      <c r="D30" s="38">
        <v>12</v>
      </c>
      <c r="E30" t="s" s="36">
        <v>117</v>
      </c>
      <c r="F30" t="s" s="36">
        <v>137</v>
      </c>
      <c r="G30" s="38">
        <v>4</v>
      </c>
    </row>
    <row r="31" ht="18.6" customHeight="1">
      <c r="A31" t="s" s="36">
        <v>166</v>
      </c>
      <c r="B31" t="s" s="36">
        <v>80</v>
      </c>
      <c r="C31" s="37">
        <v>46047</v>
      </c>
      <c r="D31" s="38">
        <v>25</v>
      </c>
      <c r="E31" t="s" s="36">
        <v>104</v>
      </c>
      <c r="F31" t="s" s="36">
        <v>142</v>
      </c>
      <c r="G31" s="38"/>
    </row>
    <row r="32" ht="18.6" customHeight="1">
      <c r="A32" t="s" s="36">
        <v>167</v>
      </c>
      <c r="B32" t="s" s="36">
        <v>64</v>
      </c>
      <c r="C32" s="37">
        <v>46091</v>
      </c>
      <c r="D32" s="38">
        <v>8</v>
      </c>
      <c r="E32" t="s" s="36">
        <v>124</v>
      </c>
      <c r="F32" t="s" s="36">
        <v>137</v>
      </c>
      <c r="G32" s="38">
        <v>4</v>
      </c>
    </row>
    <row r="33" ht="18.6" customHeight="1">
      <c r="A33" t="s" s="36">
        <v>168</v>
      </c>
      <c r="B33" t="s" s="36">
        <v>89</v>
      </c>
      <c r="C33" s="37">
        <v>46104</v>
      </c>
      <c r="D33" s="38">
        <v>10</v>
      </c>
      <c r="E33" t="s" s="36">
        <v>109</v>
      </c>
      <c r="F33" t="s" s="36">
        <v>137</v>
      </c>
      <c r="G33" s="38">
        <v>3</v>
      </c>
    </row>
    <row r="34" ht="18.6" customHeight="1">
      <c r="A34" t="s" s="36">
        <v>169</v>
      </c>
      <c r="B34" t="s" s="36">
        <v>91</v>
      </c>
      <c r="C34" s="37">
        <v>46094</v>
      </c>
      <c r="D34" s="38">
        <v>2</v>
      </c>
      <c r="E34" t="s" s="36">
        <v>127</v>
      </c>
      <c r="F34" t="s" s="36">
        <v>137</v>
      </c>
      <c r="G34" s="38">
        <v>5</v>
      </c>
    </row>
    <row r="35" ht="18.6" customHeight="1">
      <c r="A35" t="s" s="36">
        <v>170</v>
      </c>
      <c r="B35" t="s" s="36">
        <v>39</v>
      </c>
      <c r="C35" s="37">
        <v>46041</v>
      </c>
      <c r="D35" s="38">
        <v>15</v>
      </c>
      <c r="E35" t="s" s="36">
        <v>114</v>
      </c>
      <c r="F35" t="s" s="36">
        <v>137</v>
      </c>
      <c r="G35" s="38">
        <v>2</v>
      </c>
    </row>
    <row r="36" ht="18.6" customHeight="1">
      <c r="A36" t="s" s="36">
        <v>171</v>
      </c>
      <c r="B36" t="s" s="36">
        <v>62</v>
      </c>
      <c r="C36" s="37">
        <v>46099</v>
      </c>
      <c r="D36" s="38">
        <v>5</v>
      </c>
      <c r="E36" t="s" s="36">
        <v>107</v>
      </c>
      <c r="F36" t="s" s="36">
        <v>142</v>
      </c>
      <c r="G36" s="38"/>
    </row>
    <row r="37" ht="18.6" customHeight="1">
      <c r="A37" t="s" s="36">
        <v>172</v>
      </c>
      <c r="B37" t="s" s="36">
        <v>87</v>
      </c>
      <c r="C37" s="37">
        <v>46035</v>
      </c>
      <c r="D37" s="38">
        <v>30</v>
      </c>
      <c r="E37" t="s" s="36">
        <v>109</v>
      </c>
      <c r="F37" t="s" s="36">
        <v>137</v>
      </c>
      <c r="G37" s="38">
        <v>5</v>
      </c>
    </row>
    <row r="38" ht="18.6" customHeight="1">
      <c r="A38" t="s" s="36">
        <v>173</v>
      </c>
      <c r="B38" t="s" s="36">
        <v>39</v>
      </c>
      <c r="C38" s="37">
        <v>46103</v>
      </c>
      <c r="D38" s="38">
        <v>8</v>
      </c>
      <c r="E38" t="s" s="36">
        <v>104</v>
      </c>
      <c r="F38" t="s" s="36">
        <v>137</v>
      </c>
      <c r="G38" s="38">
        <v>4</v>
      </c>
    </row>
    <row r="39" ht="18.6" customHeight="1">
      <c r="A39" t="s" s="36">
        <v>174</v>
      </c>
      <c r="B39" t="s" s="36">
        <v>80</v>
      </c>
      <c r="C39" s="37">
        <v>46054</v>
      </c>
      <c r="D39" s="38">
        <v>30</v>
      </c>
      <c r="E39" t="s" s="36">
        <v>112</v>
      </c>
      <c r="F39" t="s" s="36">
        <v>142</v>
      </c>
      <c r="G39" s="38"/>
    </row>
    <row r="40" ht="18.6" customHeight="1">
      <c r="A40" t="s" s="36">
        <v>175</v>
      </c>
      <c r="B40" t="s" s="36">
        <v>66</v>
      </c>
      <c r="C40" s="37">
        <v>46078</v>
      </c>
      <c r="D40" s="38">
        <v>50</v>
      </c>
      <c r="E40" t="s" s="36">
        <v>117</v>
      </c>
      <c r="F40" t="s" s="36">
        <v>139</v>
      </c>
      <c r="G40" s="38">
        <v>14</v>
      </c>
    </row>
    <row r="41" ht="18.6" customHeight="1">
      <c r="A41" t="s" s="36">
        <v>176</v>
      </c>
      <c r="B41" t="s" s="36">
        <v>82</v>
      </c>
      <c r="C41" s="37">
        <v>46042</v>
      </c>
      <c r="D41" s="38">
        <v>10</v>
      </c>
      <c r="E41" t="s" s="36">
        <v>112</v>
      </c>
      <c r="F41" t="s" s="36">
        <v>137</v>
      </c>
      <c r="G41" s="38">
        <v>4</v>
      </c>
    </row>
    <row r="42" ht="18.6" customHeight="1">
      <c r="A42" t="s" s="36">
        <v>177</v>
      </c>
      <c r="B42" t="s" s="36">
        <v>39</v>
      </c>
      <c r="C42" s="37">
        <v>46102</v>
      </c>
      <c r="D42" s="38">
        <v>30</v>
      </c>
      <c r="E42" t="s" s="36">
        <v>112</v>
      </c>
      <c r="F42" t="s" s="36">
        <v>144</v>
      </c>
      <c r="G42" s="38"/>
    </row>
    <row r="43" ht="18.6" customHeight="1">
      <c r="A43" t="s" s="36">
        <v>178</v>
      </c>
      <c r="B43" t="s" s="36">
        <v>62</v>
      </c>
      <c r="C43" s="37">
        <v>46027</v>
      </c>
      <c r="D43" s="38">
        <v>5</v>
      </c>
      <c r="E43" t="s" s="36">
        <v>104</v>
      </c>
      <c r="F43" t="s" s="36">
        <v>137</v>
      </c>
      <c r="G43" s="38">
        <v>2</v>
      </c>
    </row>
    <row r="44" ht="18.6" customHeight="1">
      <c r="A44" t="s" s="36">
        <v>179</v>
      </c>
      <c r="B44" t="s" s="36">
        <v>44</v>
      </c>
      <c r="C44" s="37">
        <v>46069</v>
      </c>
      <c r="D44" s="38">
        <v>5</v>
      </c>
      <c r="E44" t="s" s="36">
        <v>124</v>
      </c>
      <c r="F44" t="s" s="36">
        <v>137</v>
      </c>
      <c r="G44" s="38">
        <v>4</v>
      </c>
    </row>
  </sheetData>
  <mergeCells count="1">
    <mergeCell ref="A2:G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J60"/>
  <sheetViews>
    <sheetView workbookViewId="0" showGridLines="0" defaultGridColor="1"/>
  </sheetViews>
  <sheetFormatPr defaultColWidth="8.66667" defaultRowHeight="15" customHeight="1" outlineLevelRow="0" outlineLevelCol="0"/>
  <cols>
    <col min="1" max="1" width="26.1641" style="39" customWidth="1"/>
    <col min="2" max="2" width="15.4609" style="39" customWidth="1"/>
    <col min="3" max="3" width="19.0312" style="39" customWidth="1"/>
    <col min="4" max="4" width="27.6719" style="39" customWidth="1"/>
    <col min="5" max="5" width="48" style="39" customWidth="1"/>
    <col min="6" max="6" width="47" style="39" customWidth="1"/>
    <col min="7" max="7" width="29.6719" style="39" customWidth="1"/>
    <col min="8" max="8" width="4.75781" style="39" customWidth="1"/>
    <col min="9" max="9" width="16.6484" style="39" customWidth="1"/>
    <col min="10" max="10" width="11.8906" style="39" customWidth="1"/>
    <col min="11" max="16384" width="8.67188" style="39" customWidth="1"/>
  </cols>
  <sheetData>
    <row r="1" ht="21.35" customHeight="1">
      <c r="A1" t="s" s="7">
        <v>180</v>
      </c>
      <c r="B1" s="22"/>
      <c r="C1" s="22"/>
      <c r="D1" s="22"/>
      <c r="E1" s="22"/>
      <c r="F1" s="22"/>
      <c r="G1" s="22"/>
      <c r="H1" s="22"/>
      <c r="I1" s="22"/>
      <c r="J1" s="22"/>
    </row>
    <row r="2" ht="17.25" customHeight="1">
      <c r="A2" t="s" s="23">
        <v>181</v>
      </c>
      <c r="B2" s="10"/>
      <c r="C2" s="10"/>
      <c r="D2" s="10"/>
      <c r="E2" s="10"/>
      <c r="F2" s="10"/>
      <c r="G2" s="10"/>
      <c r="H2" s="10"/>
      <c r="I2" s="22"/>
      <c r="J2" s="22"/>
    </row>
    <row r="3" ht="15.6" customHeight="1">
      <c r="A3" s="10"/>
      <c r="B3" s="10"/>
      <c r="C3" s="10"/>
      <c r="D3" s="10"/>
      <c r="E3" s="10"/>
      <c r="F3" s="10"/>
      <c r="G3" s="10"/>
      <c r="H3" s="10"/>
      <c r="I3" s="22"/>
      <c r="J3" s="22"/>
    </row>
    <row r="4" ht="15.6" customHeight="1">
      <c r="A4" s="22"/>
      <c r="B4" s="22"/>
      <c r="C4" s="22"/>
      <c r="D4" s="22"/>
      <c r="E4" s="22"/>
      <c r="F4" s="22"/>
      <c r="G4" s="22"/>
      <c r="H4" s="22"/>
      <c r="I4" s="22"/>
      <c r="J4" s="22"/>
    </row>
    <row r="5" ht="19.1" customHeight="1">
      <c r="A5" t="s" s="40">
        <v>182</v>
      </c>
      <c r="B5" s="22"/>
      <c r="C5" s="22"/>
      <c r="D5" s="22"/>
      <c r="E5" s="22"/>
      <c r="F5" s="22"/>
      <c r="G5" s="22"/>
      <c r="H5" s="22"/>
      <c r="I5" s="22"/>
      <c r="J5" s="22"/>
    </row>
    <row r="6" ht="62.95" customHeight="1">
      <c r="A6" t="s" s="23">
        <v>183</v>
      </c>
      <c r="B6" s="10"/>
      <c r="C6" s="10"/>
      <c r="D6" s="10"/>
      <c r="E6" s="10"/>
      <c r="F6" s="10"/>
      <c r="G6" s="10"/>
      <c r="H6" s="10"/>
      <c r="I6" s="22"/>
      <c r="J6" s="22"/>
    </row>
    <row r="7" ht="15.6" customHeight="1">
      <c r="A7" s="24"/>
      <c r="B7" s="24"/>
      <c r="C7" s="24"/>
      <c r="D7" s="24"/>
      <c r="E7" s="24"/>
      <c r="F7" s="24"/>
      <c r="G7" s="24"/>
      <c r="H7" s="22"/>
      <c r="I7" s="24"/>
      <c r="J7" s="24"/>
    </row>
    <row r="8" ht="16.85" customHeight="1">
      <c r="A8" t="s" s="25">
        <v>131</v>
      </c>
      <c r="B8" t="s" s="25">
        <v>33</v>
      </c>
      <c r="C8" t="s" s="25">
        <v>133</v>
      </c>
      <c r="D8" t="s" s="25">
        <v>184</v>
      </c>
      <c r="E8" t="s" s="25">
        <v>185</v>
      </c>
      <c r="F8" t="s" s="25">
        <v>186</v>
      </c>
      <c r="G8" t="s" s="25">
        <v>187</v>
      </c>
      <c r="H8" s="41"/>
      <c r="I8" t="s" s="25">
        <v>188</v>
      </c>
      <c r="J8" t="s" s="25">
        <v>189</v>
      </c>
    </row>
    <row r="9" ht="16.85" customHeight="1">
      <c r="A9" t="str" s="42" cm="1">
        <f t="array" ref="A9">'Bestellungen'!A5</f>
        <v>B001</v>
      </c>
      <c r="B9" t="str" s="42" cm="1">
        <f t="array" ref="B9">'Bestellungen'!B5</f>
        <v>A004</v>
      </c>
      <c r="C9" s="43" cm="1">
        <f t="array" ref="C9">'Bestellungen'!D5</f>
        <v>12</v>
      </c>
      <c r="D9" t="str" s="44" cm="1">
        <f t="array" ref="D9">VLOOKUP($B9,'Stammdaten_Artikel'!$A$5:$F$24,2,FALSE())</f>
        <v>Maus optisch</v>
      </c>
      <c r="E9" t="str" s="44" cm="1">
        <f t="array" ref="E9">VLOOKUP(B9,'Stammdaten_Artikel'!$A$5:$F$24,3,FALSE)</f>
        <v>Elektronik</v>
      </c>
      <c r="F9" t="str" s="45" cm="1">
        <f t="array" ref="F9">VLOOKUP(B9,'Stammdaten_Artikel'!$A$5:$F$24,4,FALSE)</f>
        <v>TechSupply GmbH</v>
      </c>
      <c r="G9" s="46" cm="1">
        <f t="array" ref="G9">VLOOKUP($C9,$I$9:$J$12,2,TRUE())</f>
        <v>0.05</v>
      </c>
      <c r="H9" s="41"/>
      <c r="I9" s="43">
        <v>0</v>
      </c>
      <c r="J9" s="47">
        <v>0</v>
      </c>
    </row>
    <row r="10" ht="16.85" customHeight="1">
      <c r="A10" t="str" s="42" cm="1">
        <f t="array" ref="A10">'Bestellungen'!A6</f>
        <v>B002</v>
      </c>
      <c r="B10" t="str" s="42" cm="1">
        <f t="array" ref="B10">'Bestellungen'!B6</f>
        <v>A004</v>
      </c>
      <c r="C10" s="43" cm="1">
        <f t="array" ref="C10">'Bestellungen'!D6</f>
        <v>5</v>
      </c>
      <c r="D10" t="str" s="44" cm="1">
        <f t="array" ref="D10">VLOOKUP($B10,'Stammdaten_Artikel'!$A$5:$F$24,2,FALSE())</f>
        <v>Maus optisch</v>
      </c>
      <c r="E10" t="str" s="44" cm="1">
        <f t="array" ref="E10">VLOOKUP(B10,'Stammdaten_Artikel'!$A$5:$F$24,3,FALSE)</f>
        <v>Elektronik</v>
      </c>
      <c r="F10" t="str" s="45" cm="1">
        <f t="array" ref="F10">VLOOKUP(B10,'Stammdaten_Artikel'!$A$5:$F$24,4,FALSE)</f>
        <v>TechSupply GmbH</v>
      </c>
      <c r="G10" s="46" cm="1">
        <f t="array" ref="G10">VLOOKUP($C10,$I$9:$J$12,2,TRUE())</f>
        <v>0</v>
      </c>
      <c r="H10" s="41"/>
      <c r="I10" s="43">
        <v>10</v>
      </c>
      <c r="J10" s="47">
        <v>0.05</v>
      </c>
    </row>
    <row r="11" ht="16.85" customHeight="1">
      <c r="A11" t="str" s="42" cm="1">
        <f t="array" ref="A11">'Bestellungen'!A7</f>
        <v>B003</v>
      </c>
      <c r="B11" t="str" s="42" cm="1">
        <f t="array" ref="B11">'Bestellungen'!B7</f>
        <v>A001</v>
      </c>
      <c r="C11" s="43" cm="1">
        <f t="array" ref="C11">'Bestellungen'!D7</f>
        <v>5</v>
      </c>
      <c r="D11" t="str" s="44" cm="1">
        <f t="array" ref="D11">VLOOKUP($B11,'Stammdaten_Artikel'!$A$5:$F$24,2,FALSE())</f>
        <v>Laptop 14 Zoll</v>
      </c>
      <c r="E11" t="str" s="44" cm="1">
        <f t="array" ref="E11">VLOOKUP(B11,'Stammdaten_Artikel'!$A$5:$F$24,3,FALSE)</f>
        <v>Elektronik</v>
      </c>
      <c r="F11" t="str" s="45" cm="1">
        <f t="array" ref="F11">VLOOKUP(B11,'Stammdaten_Artikel'!$A$5:$F$24,4,FALSE)</f>
        <v>TechSupply GmbH</v>
      </c>
      <c r="G11" s="46" cm="1">
        <f t="array" ref="G11">VLOOKUP($C11,$I$9:$J$12,2,TRUE())</f>
        <v>0</v>
      </c>
      <c r="H11" s="41"/>
      <c r="I11" s="43">
        <v>25</v>
      </c>
      <c r="J11" s="47">
        <v>0.1</v>
      </c>
    </row>
    <row r="12" ht="16.85" customHeight="1">
      <c r="A12" t="str" s="42" cm="1">
        <f t="array" ref="A12">'Bestellungen'!A8</f>
        <v>B004</v>
      </c>
      <c r="B12" t="str" s="42" cm="1">
        <f t="array" ref="B12">'Bestellungen'!B8</f>
        <v>A020</v>
      </c>
      <c r="C12" s="43" cm="1">
        <f t="array" ref="C12">'Bestellungen'!D8</f>
        <v>30</v>
      </c>
      <c r="D12" t="str" s="44" cm="1">
        <f t="array" ref="D12">VLOOKUP($B12,'Stammdaten_Artikel'!$A$5:$F$24,2,FALSE())</f>
        <v>Webcam</v>
      </c>
      <c r="E12" t="str" s="44" cm="1">
        <f t="array" ref="E12">VLOOKUP(B12,'Stammdaten_Artikel'!$A$5:$F$24,3,FALSE)</f>
        <v>Elektronik</v>
      </c>
      <c r="F12" t="str" s="45" cm="1">
        <f t="array" ref="F12">VLOOKUP(B12,'Stammdaten_Artikel'!$A$5:$F$24,4,FALSE)</f>
        <v>TechSupply GmbH</v>
      </c>
      <c r="G12" s="46" cm="1">
        <f t="array" ref="G12">VLOOKUP($C12,$I$9:$J$12,2,TRUE())</f>
        <v>0.1</v>
      </c>
      <c r="H12" s="41"/>
      <c r="I12" s="43">
        <v>40</v>
      </c>
      <c r="J12" s="47">
        <v>0.15</v>
      </c>
    </row>
    <row r="13" ht="16.85" customHeight="1">
      <c r="A13" t="str" s="42" cm="1">
        <f t="array" ref="A13">'Bestellungen'!A9</f>
        <v>B005</v>
      </c>
      <c r="B13" t="str" s="42" cm="1">
        <f t="array" ref="B13">'Bestellungen'!B9</f>
        <v>A018</v>
      </c>
      <c r="C13" s="43" cm="1">
        <f t="array" ref="C13">'Bestellungen'!D9</f>
        <v>10</v>
      </c>
      <c r="D13" t="str" s="44" cm="1">
        <f t="array" ref="D13">VLOOKUP($B13,'Stammdaten_Artikel'!$A$5:$F$24,2,FALSE())</f>
        <v>Luftpolsterfolie</v>
      </c>
      <c r="E13" t="str" s="44" cm="1">
        <f t="array" ref="E13">VLOOKUP(B13,'Stammdaten_Artikel'!$A$5:$F$24,3,FALSE)</f>
        <v>Verpackung</v>
      </c>
      <c r="F13" t="str" s="45" cm="1">
        <f t="array" ref="F13">VLOOKUP(B13,'Stammdaten_Artikel'!$A$5:$F$24,4,FALSE)</f>
        <v>PackIt GmbH</v>
      </c>
      <c r="G13" s="46" cm="1">
        <f t="array" ref="G13">VLOOKUP($C13,$I$9:$J$12,2,TRUE())</f>
        <v>0.05</v>
      </c>
      <c r="H13" s="48"/>
      <c r="I13" s="49"/>
      <c r="J13" s="49"/>
    </row>
    <row r="14" ht="16.85" customHeight="1">
      <c r="A14" t="str" s="42" cm="1">
        <f t="array" ref="A14">'Bestellungen'!A10</f>
        <v>B006</v>
      </c>
      <c r="B14" t="str" s="42" cm="1">
        <f t="array" ref="B14">'Bestellungen'!B10</f>
        <v>A009</v>
      </c>
      <c r="C14" s="43" cm="1">
        <f t="array" ref="C14">'Bestellungen'!D10</f>
        <v>8</v>
      </c>
      <c r="D14" t="str" s="44" cm="1">
        <f t="array" ref="D14">VLOOKUP($B14,'Stammdaten_Artikel'!$A$5:$F$24,2,FALSE())</f>
        <v>Ordner A4</v>
      </c>
      <c r="E14" t="str" s="44" cm="1">
        <f t="array" ref="E14">VLOOKUP(B14,'Stammdaten_Artikel'!$A$5:$F$24,3,FALSE)</f>
        <v>Bueromaterial</v>
      </c>
      <c r="F14" t="str" s="45" cm="1">
        <f t="array" ref="F14">VLOOKUP(B14,'Stammdaten_Artikel'!$A$5:$F$24,4,FALSE)</f>
        <v>PaperPlus KG</v>
      </c>
      <c r="G14" s="46" cm="1">
        <f t="array" ref="G14">VLOOKUP($C14,$I$9:$J$12,2,TRUE())</f>
        <v>0</v>
      </c>
      <c r="H14" s="48"/>
      <c r="I14" s="22"/>
      <c r="J14" s="22"/>
    </row>
    <row r="15" ht="16.85" customHeight="1">
      <c r="A15" t="str" s="42" cm="1">
        <f t="array" ref="A15">'Bestellungen'!A11</f>
        <v>B007</v>
      </c>
      <c r="B15" t="str" s="42" cm="1">
        <f t="array" ref="B15">'Bestellungen'!B11</f>
        <v>A005</v>
      </c>
      <c r="C15" s="43" cm="1">
        <f t="array" ref="C15">'Bestellungen'!D11</f>
        <v>15</v>
      </c>
      <c r="D15" t="str" s="44" cm="1">
        <f t="array" ref="D15">VLOOKUP($B15,'Stammdaten_Artikel'!$A$5:$F$24,2,FALSE())</f>
        <v>USB-C Kabel</v>
      </c>
      <c r="E15" t="str" s="44" cm="1">
        <f t="array" ref="E15">VLOOKUP(B15,'Stammdaten_Artikel'!$A$5:$F$24,3,FALSE)</f>
        <v>IT-Zubehoer</v>
      </c>
      <c r="F15" t="str" s="45" cm="1">
        <f t="array" ref="F15">VLOOKUP(B15,'Stammdaten_Artikel'!$A$5:$F$24,4,FALSE)</f>
        <v>KabelPro AG</v>
      </c>
      <c r="G15" s="46" cm="1">
        <f t="array" ref="G15">VLOOKUP($C15,$I$9:$J$12,2,TRUE())</f>
        <v>0.05</v>
      </c>
      <c r="H15" s="48"/>
      <c r="I15" s="22"/>
      <c r="J15" s="22"/>
    </row>
    <row r="16" ht="16.85" customHeight="1">
      <c r="A16" t="str" s="42" cm="1">
        <f t="array" ref="A16">'Bestellungen'!A12</f>
        <v>B008</v>
      </c>
      <c r="B16" t="str" s="42" cm="1">
        <f t="array" ref="B16">'Bestellungen'!B12</f>
        <v>A004</v>
      </c>
      <c r="C16" s="43" cm="1">
        <f t="array" ref="C16">'Bestellungen'!D12</f>
        <v>15</v>
      </c>
      <c r="D16" t="str" s="44" cm="1">
        <f t="array" ref="D16">VLOOKUP($B16,'Stammdaten_Artikel'!$A$5:$F$24,2,FALSE())</f>
        <v>Maus optisch</v>
      </c>
      <c r="E16" t="str" s="44" cm="1">
        <f t="array" ref="E16">VLOOKUP(B16,'Stammdaten_Artikel'!$A$5:$F$24,3,FALSE)</f>
        <v>Elektronik</v>
      </c>
      <c r="F16" t="str" s="45" cm="1">
        <f t="array" ref="F16">VLOOKUP(B16,'Stammdaten_Artikel'!$A$5:$F$24,4,FALSE)</f>
        <v>TechSupply GmbH</v>
      </c>
      <c r="G16" s="46" cm="1">
        <f t="array" ref="G16">VLOOKUP($C16,$I$9:$J$12,2,TRUE())</f>
        <v>0.05</v>
      </c>
      <c r="H16" s="48"/>
      <c r="I16" s="22"/>
      <c r="J16" s="22"/>
    </row>
    <row r="17" ht="16.85" customHeight="1">
      <c r="A17" t="str" s="42" cm="1">
        <f t="array" ref="A17">'Bestellungen'!A13</f>
        <v>B009</v>
      </c>
      <c r="B17" t="str" s="42" cm="1">
        <f t="array" ref="B17">'Bestellungen'!B13</f>
        <v>A015</v>
      </c>
      <c r="C17" s="43" cm="1">
        <f t="array" ref="C17">'Bestellungen'!D13</f>
        <v>5</v>
      </c>
      <c r="D17" t="str" s="44" cm="1">
        <f t="array" ref="D17">VLOOKUP($B17,'Stammdaten_Artikel'!$A$5:$F$24,2,FALSE())</f>
        <v>Kartonbox klein</v>
      </c>
      <c r="E17" t="str" s="44" cm="1">
        <f t="array" ref="E17">VLOOKUP(B17,'Stammdaten_Artikel'!$A$5:$F$24,3,FALSE)</f>
        <v>Verpackung</v>
      </c>
      <c r="F17" t="str" s="45" cm="1">
        <f t="array" ref="F17">VLOOKUP(B17,'Stammdaten_Artikel'!$A$5:$F$24,4,FALSE)</f>
        <v>PackIt GmbH</v>
      </c>
      <c r="G17" s="46" cm="1">
        <f t="array" ref="G17">VLOOKUP($C17,$I$9:$J$12,2,TRUE())</f>
        <v>0</v>
      </c>
      <c r="H17" s="48"/>
      <c r="I17" s="22"/>
      <c r="J17" s="22"/>
    </row>
    <row r="18" ht="16.85" customHeight="1">
      <c r="A18" t="str" s="42" cm="1">
        <f t="array" ref="A18">'Bestellungen'!A14</f>
        <v>B010</v>
      </c>
      <c r="B18" t="str" s="42" cm="1">
        <f t="array" ref="B18">'Bestellungen'!B14</f>
        <v>A020</v>
      </c>
      <c r="C18" s="43" cm="1">
        <f t="array" ref="C18">'Bestellungen'!D14</f>
        <v>40</v>
      </c>
      <c r="D18" t="str" s="44" cm="1">
        <f t="array" ref="D18">VLOOKUP($B18,'Stammdaten_Artikel'!$A$5:$F$24,2,FALSE())</f>
        <v>Webcam</v>
      </c>
      <c r="E18" t="str" s="44" cm="1">
        <f t="array" ref="E18">VLOOKUP(B18,'Stammdaten_Artikel'!$A$5:$F$24,3,FALSE)</f>
        <v>Elektronik</v>
      </c>
      <c r="F18" t="str" s="45" cm="1">
        <f t="array" ref="F18">VLOOKUP(B18,'Stammdaten_Artikel'!$A$5:$F$24,4,FALSE)</f>
        <v>TechSupply GmbH</v>
      </c>
      <c r="G18" s="46" cm="1">
        <f t="array" ref="G18">VLOOKUP($C18,$I$9:$J$12,2,TRUE())</f>
        <v>0.15</v>
      </c>
      <c r="H18" s="48"/>
      <c r="I18" s="22"/>
      <c r="J18" s="22"/>
    </row>
    <row r="19" ht="16.85" customHeight="1">
      <c r="A19" t="str" s="42" cm="1">
        <f t="array" ref="A19">'Bestellungen'!A15</f>
        <v>B011</v>
      </c>
      <c r="B19" t="str" s="42" cm="1">
        <f t="array" ref="B19">'Bestellungen'!B15</f>
        <v>A003</v>
      </c>
      <c r="C19" s="43" cm="1">
        <f t="array" ref="C19">'Bestellungen'!D15</f>
        <v>50</v>
      </c>
      <c r="D19" t="str" s="44" cm="1">
        <f t="array" ref="D19">VLOOKUP($B19,'Stammdaten_Artikel'!$A$5:$F$24,2,FALSE())</f>
        <v>Tastatur kabellos</v>
      </c>
      <c r="E19" t="str" s="44" cm="1">
        <f t="array" ref="E19">VLOOKUP(B19,'Stammdaten_Artikel'!$A$5:$F$24,3,FALSE)</f>
        <v>Elektronik</v>
      </c>
      <c r="F19" t="str" s="45" cm="1">
        <f t="array" ref="F19">VLOOKUP(B19,'Stammdaten_Artikel'!$A$5:$F$24,4,FALSE)</f>
        <v>TechSupply GmbH</v>
      </c>
      <c r="G19" s="46" cm="1">
        <f t="array" ref="G19">VLOOKUP($C19,$I$9:$J$12,2,TRUE())</f>
        <v>0.15</v>
      </c>
      <c r="H19" s="48"/>
      <c r="I19" s="22"/>
      <c r="J19" s="22"/>
    </row>
    <row r="20" ht="16.85" customHeight="1">
      <c r="A20" t="str" s="42" cm="1">
        <f t="array" ref="A20">'Bestellungen'!A16</f>
        <v>B012</v>
      </c>
      <c r="B20" t="str" s="42" cm="1">
        <f t="array" ref="B20">'Bestellungen'!B16</f>
        <v>A008</v>
      </c>
      <c r="C20" s="43" cm="1">
        <f t="array" ref="C20">'Bestellungen'!D16</f>
        <v>20</v>
      </c>
      <c r="D20" t="str" s="44" cm="1">
        <f t="array" ref="D20">VLOOKUP($B20,'Stammdaten_Artikel'!$A$5:$F$24,2,FALSE())</f>
        <v>Kugelschreiber</v>
      </c>
      <c r="E20" t="str" s="44" cm="1">
        <f t="array" ref="E20">VLOOKUP(B20,'Stammdaten_Artikel'!$A$5:$F$24,3,FALSE)</f>
        <v>Bueromaterial</v>
      </c>
      <c r="F20" t="str" s="45" cm="1">
        <f t="array" ref="F20">VLOOKUP(B20,'Stammdaten_Artikel'!$A$5:$F$24,4,FALSE)</f>
        <v>PaperPlus KG</v>
      </c>
      <c r="G20" s="46" cm="1">
        <f t="array" ref="G20">VLOOKUP($C20,$I$9:$J$12,2,TRUE())</f>
        <v>0.05</v>
      </c>
      <c r="H20" s="48"/>
      <c r="I20" s="22"/>
      <c r="J20" s="22"/>
    </row>
    <row r="21" ht="16.85" customHeight="1">
      <c r="A21" t="str" s="42" cm="1">
        <f t="array" ref="A21">'Bestellungen'!A17</f>
        <v>B013</v>
      </c>
      <c r="B21" t="str" s="42" cm="1">
        <f t="array" ref="B21">'Bestellungen'!B17</f>
        <v>A006</v>
      </c>
      <c r="C21" s="43" cm="1">
        <f t="array" ref="C21">'Bestellungen'!D17</f>
        <v>15</v>
      </c>
      <c r="D21" t="str" s="44" cm="1">
        <f t="array" ref="D21">VLOOKUP($B21,'Stammdaten_Artikel'!$A$5:$F$24,2,FALSE())</f>
        <v>Headset</v>
      </c>
      <c r="E21" t="str" s="44" cm="1">
        <f t="array" ref="E21">VLOOKUP(B21,'Stammdaten_Artikel'!$A$5:$F$24,3,FALSE)</f>
        <v>Elektronik</v>
      </c>
      <c r="F21" t="str" s="45" cm="1">
        <f t="array" ref="F21">VLOOKUP(B21,'Stammdaten_Artikel'!$A$5:$F$24,4,FALSE)</f>
        <v>TechSupply GmbH</v>
      </c>
      <c r="G21" s="46" cm="1">
        <f t="array" ref="G21">VLOOKUP($C21,$I$9:$J$12,2,TRUE())</f>
        <v>0.05</v>
      </c>
      <c r="H21" s="48"/>
      <c r="I21" s="22"/>
      <c r="J21" s="22"/>
    </row>
    <row r="22" ht="16.85" customHeight="1">
      <c r="A22" t="str" s="42" cm="1">
        <f t="array" ref="A22">'Bestellungen'!A18</f>
        <v>B014</v>
      </c>
      <c r="B22" t="str" s="42" cm="1">
        <f t="array" ref="B22">'Bestellungen'!B18</f>
        <v>A009</v>
      </c>
      <c r="C22" s="43" cm="1">
        <f t="array" ref="C22">'Bestellungen'!D18</f>
        <v>5</v>
      </c>
      <c r="D22" t="str" s="44" cm="1">
        <f t="array" ref="D22">VLOOKUP($B22,'Stammdaten_Artikel'!$A$5:$F$24,2,FALSE())</f>
        <v>Ordner A4</v>
      </c>
      <c r="E22" t="str" s="44" cm="1">
        <f t="array" ref="E22">VLOOKUP(B22,'Stammdaten_Artikel'!$A$5:$F$24,3,FALSE)</f>
        <v>Bueromaterial</v>
      </c>
      <c r="F22" t="str" s="45" cm="1">
        <f t="array" ref="F22">VLOOKUP(B22,'Stammdaten_Artikel'!$A$5:$F$24,4,FALSE)</f>
        <v>PaperPlus KG</v>
      </c>
      <c r="G22" s="46" cm="1">
        <f t="array" ref="G22">VLOOKUP($C22,$I$9:$J$12,2,TRUE())</f>
        <v>0</v>
      </c>
      <c r="H22" s="48"/>
      <c r="I22" s="22"/>
      <c r="J22" s="22"/>
    </row>
    <row r="23" ht="16.85" customHeight="1">
      <c r="A23" t="str" s="42" cm="1">
        <f t="array" ref="A23">'Bestellungen'!A19</f>
        <v>B015</v>
      </c>
      <c r="B23" t="str" s="42" cm="1">
        <f t="array" ref="B23">'Bestellungen'!B19</f>
        <v>A006</v>
      </c>
      <c r="C23" s="43" cm="1">
        <f t="array" ref="C23">'Bestellungen'!D19</f>
        <v>10</v>
      </c>
      <c r="D23" t="str" s="44" cm="1">
        <f t="array" ref="D23">VLOOKUP($B23,'Stammdaten_Artikel'!$A$5:$F$24,2,FALSE())</f>
        <v>Headset</v>
      </c>
      <c r="E23" t="str" s="44" cm="1">
        <f t="array" ref="E23">VLOOKUP(B23,'Stammdaten_Artikel'!$A$5:$F$24,3,FALSE)</f>
        <v>Elektronik</v>
      </c>
      <c r="F23" t="str" s="45" cm="1">
        <f t="array" ref="F23">VLOOKUP(B23,'Stammdaten_Artikel'!$A$5:$F$24,4,FALSE)</f>
        <v>TechSupply GmbH</v>
      </c>
      <c r="G23" s="46" cm="1">
        <f t="array" ref="G23">VLOOKUP($C23,$I$9:$J$12,2,TRUE())</f>
        <v>0.05</v>
      </c>
      <c r="H23" s="48"/>
      <c r="I23" s="22"/>
      <c r="J23" s="22"/>
    </row>
    <row r="24" ht="15.6" customHeight="1">
      <c r="A24" s="50"/>
      <c r="B24" t="s" s="51">
        <v>57</v>
      </c>
      <c r="C24" s="52"/>
      <c r="D24" s="49"/>
      <c r="E24" t="str" s="53" cm="1">
        <f t="array" ref="E24">VLOOKUP(B24,'Stammdaten_Artikel'!$A$5:$F$24,3,FALSE)</f>
        <v>Bueromaterial</v>
      </c>
      <c r="F24" t="str" s="54" cm="1">
        <f t="array" ref="F24">VLOOKUP(B24,'Stammdaten_Artikel'!$A$5:$F$24,4,FALSE)</f>
        <v>PaperPlus KG</v>
      </c>
      <c r="G24" s="55" cm="1">
        <f t="array" ref="G24">VLOOKUP($C24,$I$9:$J$12,2,TRUE())</f>
        <v>0</v>
      </c>
      <c r="H24" s="22"/>
      <c r="I24" s="22"/>
      <c r="J24" s="22"/>
    </row>
    <row r="25" ht="15.6" customHeight="1">
      <c r="A25" s="56"/>
      <c r="B25" t="s" s="51">
        <v>62</v>
      </c>
      <c r="C25" s="48"/>
      <c r="D25" s="22"/>
      <c r="E25" t="str" s="57" cm="1">
        <f t="array" ref="E25">VLOOKUP(B25,'Stammdaten_Artikel'!$A$5:$F$24,3,FALSE)</f>
        <v>Bueromaterial</v>
      </c>
      <c r="F25" t="str" s="58" cm="1">
        <f t="array" ref="F25">VLOOKUP(B25,'Stammdaten_Artikel'!$A$5:$F$24,4,FALSE)</f>
        <v>PaperPlus KG</v>
      </c>
      <c r="G25" s="59" cm="1">
        <f t="array" ref="G25">VLOOKUP($C25,$I$9:$J$12,2,TRUE())</f>
        <v>0</v>
      </c>
      <c r="H25" s="22"/>
      <c r="I25" s="22"/>
      <c r="J25" s="22"/>
    </row>
    <row r="26" ht="15.6" customHeight="1">
      <c r="A26" s="56"/>
      <c r="B26" t="s" s="51">
        <v>64</v>
      </c>
      <c r="C26" s="48"/>
      <c r="D26" s="22"/>
      <c r="E26" t="str" s="57" cm="1">
        <f t="array" ref="E26">VLOOKUP(B26,'Stammdaten_Artikel'!$A$5:$F$24,3,FALSE)</f>
        <v>Bueromaterial</v>
      </c>
      <c r="F26" t="str" s="58" cm="1">
        <f t="array" ref="F26">VLOOKUP(B26,'Stammdaten_Artikel'!$A$5:$F$24,4,FALSE)</f>
        <v>PaperPlus KG</v>
      </c>
      <c r="G26" s="59" cm="1">
        <f t="array" ref="G26">VLOOKUP($C26,$I$9:$J$12,2,TRUE())</f>
        <v>0</v>
      </c>
      <c r="H26" s="22"/>
      <c r="I26" s="22"/>
      <c r="J26" s="22"/>
    </row>
    <row r="27" ht="15.6" customHeight="1">
      <c r="A27" s="56"/>
      <c r="B27" t="s" s="51">
        <v>66</v>
      </c>
      <c r="C27" s="48"/>
      <c r="D27" s="22"/>
      <c r="E27" t="str" s="57" cm="1">
        <f t="array" ref="E27">VLOOKUP(B27,'Stammdaten_Artikel'!$A$5:$F$24,3,FALSE)</f>
        <v>Bueromaterial</v>
      </c>
      <c r="F27" t="str" s="58" cm="1">
        <f t="array" ref="F27">VLOOKUP(B27,'Stammdaten_Artikel'!$A$5:$F$24,4,FALSE)</f>
        <v>OfficeTech GmbH</v>
      </c>
      <c r="G27" s="59" cm="1">
        <f t="array" ref="G27">VLOOKUP($C27,$I$9:$J$12,2,TRUE())</f>
        <v>0</v>
      </c>
      <c r="H27" s="22"/>
      <c r="I27" s="22"/>
      <c r="J27" s="22"/>
    </row>
    <row r="28" ht="15.6" customHeight="1">
      <c r="A28" s="56"/>
      <c r="B28" t="s" s="51">
        <v>70</v>
      </c>
      <c r="C28" s="48"/>
      <c r="D28" s="22"/>
      <c r="E28" t="str" s="57" cm="1">
        <f t="array" ref="E28">VLOOKUP(B28,'Stammdaten_Artikel'!$A$5:$F$24,3,FALSE)</f>
        <v>Werkzeug</v>
      </c>
      <c r="F28" t="str" s="58" cm="1">
        <f t="array" ref="F28">VLOOKUP(B28,'Stammdaten_Artikel'!$A$5:$F$24,4,FALSE)</f>
        <v>WerkzeugWelt AG</v>
      </c>
      <c r="G28" s="59" cm="1">
        <f t="array" ref="G28">VLOOKUP($C28,$I$9:$J$12,2,TRUE())</f>
        <v>0</v>
      </c>
      <c r="H28" s="22"/>
      <c r="I28" s="22"/>
      <c r="J28" s="22"/>
    </row>
    <row r="29" ht="15.6" customHeight="1">
      <c r="A29" s="56"/>
      <c r="B29" t="s" s="51">
        <v>75</v>
      </c>
      <c r="C29" s="48"/>
      <c r="D29" s="22"/>
      <c r="E29" t="str" s="57" cm="1">
        <f t="array" ref="E29">VLOOKUP(B29,'Stammdaten_Artikel'!$A$5:$F$24,3,FALSE)</f>
        <v>Werkzeug</v>
      </c>
      <c r="F29" t="str" s="58" cm="1">
        <f t="array" ref="F29">VLOOKUP(B29,'Stammdaten_Artikel'!$A$5:$F$24,4,FALSE)</f>
        <v>WerkzeugWelt AG</v>
      </c>
      <c r="G29" s="59" cm="1">
        <f t="array" ref="G29">VLOOKUP($C29,$I$9:$J$12,2,TRUE())</f>
        <v>0</v>
      </c>
      <c r="H29" s="22"/>
      <c r="I29" s="22"/>
      <c r="J29" s="22"/>
    </row>
    <row r="30" ht="15.6" customHeight="1">
      <c r="A30" s="56"/>
      <c r="B30" t="s" s="51">
        <v>77</v>
      </c>
      <c r="C30" s="48"/>
      <c r="D30" s="22"/>
      <c r="E30" t="str" s="57" cm="1">
        <f t="array" ref="E30">VLOOKUP(B30,'Stammdaten_Artikel'!$A$5:$F$24,3,FALSE)</f>
        <v>Werkzeug</v>
      </c>
      <c r="F30" t="str" s="58" cm="1">
        <f t="array" ref="F30">VLOOKUP(B30,'Stammdaten_Artikel'!$A$5:$F$24,4,FALSE)</f>
        <v>SafetyFirst GmbH</v>
      </c>
      <c r="G30" s="59" cm="1">
        <f t="array" ref="G30">VLOOKUP($C30,$I$9:$J$12,2,TRUE())</f>
        <v>0</v>
      </c>
      <c r="H30" s="22"/>
      <c r="I30" s="22"/>
      <c r="J30" s="22"/>
    </row>
    <row r="31" ht="15.6" customHeight="1">
      <c r="A31" s="56"/>
      <c r="B31" t="s" s="51">
        <v>80</v>
      </c>
      <c r="C31" s="48"/>
      <c r="D31" s="22"/>
      <c r="E31" t="str" s="57" cm="1">
        <f t="array" ref="E31">VLOOKUP(B31,'Stammdaten_Artikel'!$A$5:$F$24,3,FALSE)</f>
        <v>Werkzeug</v>
      </c>
      <c r="F31" t="str" s="58" cm="1">
        <f t="array" ref="F31">VLOOKUP(B31,'Stammdaten_Artikel'!$A$5:$F$24,4,FALSE)</f>
        <v>SafetyFirst GmbH</v>
      </c>
      <c r="G31" s="59" cm="1">
        <f t="array" ref="G31">VLOOKUP($C31,$I$9:$J$12,2,TRUE())</f>
        <v>0</v>
      </c>
      <c r="H31" s="22"/>
      <c r="I31" s="22"/>
      <c r="J31" s="22"/>
    </row>
    <row r="32" ht="15.6" customHeight="1">
      <c r="A32" s="56"/>
      <c r="B32" t="s" s="51">
        <v>82</v>
      </c>
      <c r="C32" s="48"/>
      <c r="D32" s="22"/>
      <c r="E32" t="str" s="57" cm="1">
        <f t="array" ref="E32">VLOOKUP(B32,'Stammdaten_Artikel'!$A$5:$F$24,3,FALSE)</f>
        <v>Verpackung</v>
      </c>
      <c r="F32" t="str" s="58" cm="1">
        <f t="array" ref="F32">VLOOKUP(B32,'Stammdaten_Artikel'!$A$5:$F$24,4,FALSE)</f>
        <v>PackIt GmbH</v>
      </c>
      <c r="G32" s="59" cm="1">
        <f t="array" ref="G32">VLOOKUP($C32,$I$9:$J$12,2,TRUE())</f>
        <v>0</v>
      </c>
      <c r="H32" s="22"/>
      <c r="I32" s="22"/>
      <c r="J32" s="22"/>
    </row>
    <row r="33" ht="15.6" customHeight="1">
      <c r="A33" s="56"/>
      <c r="B33" t="s" s="51">
        <v>87</v>
      </c>
      <c r="C33" s="48"/>
      <c r="D33" s="22"/>
      <c r="E33" t="str" s="57" cm="1">
        <f t="array" ref="E33">VLOOKUP(B33,'Stammdaten_Artikel'!$A$5:$F$24,3,FALSE)</f>
        <v>Verpackung</v>
      </c>
      <c r="F33" t="str" s="58" cm="1">
        <f t="array" ref="F33">VLOOKUP(B33,'Stammdaten_Artikel'!$A$5:$F$24,4,FALSE)</f>
        <v>PackIt GmbH</v>
      </c>
      <c r="G33" s="59" cm="1">
        <f t="array" ref="G33">VLOOKUP($C33,$I$9:$J$12,2,TRUE())</f>
        <v>0</v>
      </c>
      <c r="H33" s="22"/>
      <c r="I33" s="22"/>
      <c r="J33" s="22"/>
    </row>
    <row r="34" ht="15.6" customHeight="1">
      <c r="A34" s="56"/>
      <c r="B34" t="s" s="51">
        <v>89</v>
      </c>
      <c r="C34" s="48"/>
      <c r="D34" s="22"/>
      <c r="E34" t="str" s="57" cm="1">
        <f t="array" ref="E34">VLOOKUP(B34,'Stammdaten_Artikel'!$A$5:$F$24,3,FALSE)</f>
        <v>Verpackung</v>
      </c>
      <c r="F34" t="str" s="58" cm="1">
        <f t="array" ref="F34">VLOOKUP(B34,'Stammdaten_Artikel'!$A$5:$F$24,4,FALSE)</f>
        <v>PackIt GmbH</v>
      </c>
      <c r="G34" s="59" cm="1">
        <f t="array" ref="G34">VLOOKUP($C34,$I$9:$J$12,2,TRUE())</f>
        <v>0</v>
      </c>
      <c r="H34" s="22"/>
      <c r="I34" s="22"/>
      <c r="J34" s="22"/>
    </row>
    <row r="35" ht="15.6" customHeight="1">
      <c r="A35" s="56"/>
      <c r="B35" t="s" s="51">
        <v>91</v>
      </c>
      <c r="C35" s="48"/>
      <c r="D35" s="22"/>
      <c r="E35" t="str" s="57" cm="1">
        <f t="array" ref="E35">VLOOKUP(B35,'Stammdaten_Artikel'!$A$5:$F$24,3,FALSE)</f>
        <v>Verpackung</v>
      </c>
      <c r="F35" t="str" s="58" cm="1">
        <f t="array" ref="F35">VLOOKUP(B35,'Stammdaten_Artikel'!$A$5:$F$24,4,FALSE)</f>
        <v>PackIt GmbH</v>
      </c>
      <c r="G35" s="59" cm="1">
        <f t="array" ref="G35">VLOOKUP($C35,$I$9:$J$12,2,TRUE())</f>
        <v>0</v>
      </c>
      <c r="H35" s="22"/>
      <c r="I35" s="22"/>
      <c r="J35" s="22"/>
    </row>
    <row r="36" ht="15.6" customHeight="1">
      <c r="A36" s="56"/>
      <c r="B36" t="s" s="51">
        <v>94</v>
      </c>
      <c r="C36" s="48"/>
      <c r="D36" s="22"/>
      <c r="E36" t="str" s="57" cm="1">
        <f t="array" ref="E36">VLOOKUP(B36,'Stammdaten_Artikel'!$A$5:$F$24,3,FALSE)</f>
        <v>IT-Zubehoer</v>
      </c>
      <c r="F36" t="str" s="58" cm="1">
        <f t="array" ref="F36">VLOOKUP(B36,'Stammdaten_Artikel'!$A$5:$F$24,4,FALSE)</f>
        <v>KabelPro AG</v>
      </c>
      <c r="G36" s="59" cm="1">
        <f t="array" ref="G36">VLOOKUP($C36,$I$9:$J$12,2,TRUE())</f>
        <v>0</v>
      </c>
      <c r="H36" s="22"/>
      <c r="I36" s="22"/>
      <c r="J36" s="22"/>
    </row>
    <row r="37" ht="15.6" customHeight="1">
      <c r="A37" s="56"/>
      <c r="B37" t="s" s="51">
        <v>96</v>
      </c>
      <c r="C37" s="48"/>
      <c r="D37" s="22"/>
      <c r="E37" t="str" s="57" cm="1">
        <f t="array" ref="E37">VLOOKUP(B37,'Stammdaten_Artikel'!$A$5:$F$24,3,FALSE)</f>
        <v>Elektronik</v>
      </c>
      <c r="F37" t="str" s="58" cm="1">
        <f t="array" ref="F37">VLOOKUP(B37,'Stammdaten_Artikel'!$A$5:$F$24,4,FALSE)</f>
        <v>TechSupply GmbH</v>
      </c>
      <c r="G37" s="59" cm="1">
        <f t="array" ref="G37">VLOOKUP($C37,$I$9:$J$12,2,TRUE())</f>
        <v>0</v>
      </c>
      <c r="H37" s="22"/>
      <c r="I37" s="22"/>
      <c r="J37" s="22"/>
    </row>
    <row r="38" ht="15.6" customHeight="1">
      <c r="A38" s="22"/>
      <c r="B38" s="49"/>
      <c r="C38" s="22"/>
      <c r="D38" s="22"/>
      <c r="E38" s="22"/>
      <c r="F38" s="22"/>
      <c r="G38" s="22"/>
      <c r="H38" s="22"/>
      <c r="I38" s="22"/>
      <c r="J38" s="22"/>
    </row>
    <row r="39" ht="15.6" customHeight="1">
      <c r="A39" s="22"/>
      <c r="B39" s="22"/>
      <c r="C39" s="22"/>
      <c r="D39" s="22"/>
      <c r="E39" s="22"/>
      <c r="F39" s="22"/>
      <c r="G39" s="22"/>
      <c r="H39" s="22"/>
      <c r="I39" s="22"/>
      <c r="J39" s="22"/>
    </row>
    <row r="40" ht="34.5" customHeight="1">
      <c r="A40" t="s" s="23">
        <v>237</v>
      </c>
      <c r="B40" s="10"/>
      <c r="C40" s="8"/>
      <c r="D40" s="10"/>
      <c r="E40" s="10"/>
      <c r="F40" s="10"/>
      <c r="G40" s="10"/>
      <c r="H40" s="10"/>
      <c r="I40" s="22"/>
      <c r="J40" s="22"/>
    </row>
    <row r="41" ht="15.6" customHeight="1">
      <c r="A41" t="s" s="60">
        <v>238</v>
      </c>
      <c r="B41" s="22"/>
      <c r="C41" s="22"/>
      <c r="D41" s="22"/>
      <c r="E41" s="22"/>
      <c r="F41" s="22"/>
      <c r="G41" s="22"/>
      <c r="H41" s="22"/>
      <c r="I41" s="22"/>
      <c r="J41" s="22"/>
    </row>
    <row r="42" ht="52.65" customHeight="1">
      <c r="A42" t="s" s="62">
        <v>239</v>
      </c>
      <c r="B42" s="22"/>
      <c r="C42" s="22"/>
      <c r="D42" s="22"/>
      <c r="E42" s="22"/>
      <c r="F42" s="22"/>
      <c r="G42" s="22"/>
      <c r="H42" s="22"/>
      <c r="I42" s="22"/>
      <c r="J42" s="22"/>
    </row>
    <row r="43" ht="19.85" customHeight="1">
      <c r="A43" t="s" s="61">
        <v>240</v>
      </c>
      <c r="B43" s="22"/>
      <c r="C43" s="22"/>
      <c r="D43" s="22"/>
      <c r="E43" s="22"/>
      <c r="F43" s="22"/>
      <c r="G43" s="22"/>
      <c r="H43" s="22"/>
      <c r="I43" s="22"/>
      <c r="J43" s="22"/>
    </row>
    <row r="44" ht="15.6" customHeight="1">
      <c r="A44" s="22"/>
      <c r="B44" s="22"/>
      <c r="C44" s="22"/>
      <c r="D44" s="22"/>
      <c r="E44" s="22"/>
      <c r="F44" s="22"/>
      <c r="G44" s="22"/>
      <c r="H44" s="22"/>
      <c r="I44" s="22"/>
      <c r="J44" s="22"/>
    </row>
    <row r="45" ht="15.6" customHeight="1">
      <c r="A45" t="s" s="62">
        <v>241</v>
      </c>
      <c r="B45" s="22"/>
      <c r="C45" s="22"/>
      <c r="D45" s="22"/>
      <c r="E45" s="22"/>
      <c r="F45" s="22"/>
      <c r="G45" s="22"/>
      <c r="H45" s="22"/>
      <c r="I45" s="22"/>
      <c r="J45" s="22"/>
    </row>
    <row r="46" ht="15.6" customHeight="1">
      <c r="A46" s="22"/>
      <c r="B46" s="22"/>
      <c r="C46" s="22"/>
      <c r="D46" s="22"/>
      <c r="E46" s="22"/>
      <c r="F46" s="22"/>
      <c r="G46" s="22"/>
      <c r="H46" s="22"/>
      <c r="I46" s="22"/>
      <c r="J46" s="22"/>
    </row>
    <row r="47" ht="15.6" customHeight="1">
      <c r="A47" s="22"/>
      <c r="B47" s="22"/>
      <c r="C47" s="22"/>
      <c r="D47" s="22"/>
      <c r="E47" s="22"/>
      <c r="F47" s="22"/>
      <c r="G47" s="22"/>
      <c r="H47" s="22"/>
      <c r="I47" s="22"/>
      <c r="J47" s="22"/>
    </row>
    <row r="48" ht="15.6" customHeight="1">
      <c r="A48" s="22"/>
      <c r="B48" s="22"/>
      <c r="C48" s="22"/>
      <c r="D48" s="22"/>
      <c r="E48" s="22"/>
      <c r="F48" s="22"/>
      <c r="G48" s="22"/>
      <c r="H48" s="22"/>
      <c r="I48" s="22"/>
      <c r="J48" s="22"/>
    </row>
    <row r="49" ht="15.6" customHeight="1">
      <c r="A49" s="22"/>
      <c r="B49" s="22"/>
      <c r="C49" s="22"/>
      <c r="D49" s="22"/>
      <c r="E49" s="22"/>
      <c r="F49" s="22"/>
      <c r="G49" s="22"/>
      <c r="H49" s="22"/>
      <c r="I49" s="22"/>
      <c r="J49" s="22"/>
    </row>
    <row r="50" ht="19.1" customHeight="1">
      <c r="A50" t="s" s="40">
        <v>242</v>
      </c>
      <c r="B50" s="22"/>
      <c r="C50" s="22"/>
      <c r="D50" s="22"/>
      <c r="E50" s="22"/>
      <c r="F50" s="22"/>
      <c r="G50" s="22"/>
      <c r="H50" s="22"/>
      <c r="I50" s="22"/>
      <c r="J50" s="22"/>
    </row>
    <row r="51" ht="17.25" customHeight="1">
      <c r="A51" t="s" s="23">
        <v>243</v>
      </c>
      <c r="B51" s="10"/>
      <c r="C51" s="10"/>
      <c r="D51" s="10"/>
      <c r="E51" s="10"/>
      <c r="F51" s="10"/>
      <c r="G51" s="10"/>
      <c r="H51" s="10"/>
      <c r="I51" s="22"/>
      <c r="J51" s="22"/>
    </row>
    <row r="52" ht="15.6" customHeight="1">
      <c r="A52" s="24"/>
      <c r="B52" s="24"/>
      <c r="C52" s="24"/>
      <c r="D52" s="24"/>
      <c r="E52" s="24"/>
      <c r="F52" s="22"/>
      <c r="G52" s="22"/>
      <c r="H52" s="22"/>
      <c r="I52" s="22"/>
      <c r="J52" s="22"/>
    </row>
    <row r="53" ht="16.85" customHeight="1">
      <c r="A53" s="63"/>
      <c r="B53" t="s" s="25">
        <v>244</v>
      </c>
      <c r="C53" t="s" s="25">
        <v>245</v>
      </c>
      <c r="D53" t="s" s="25">
        <v>246</v>
      </c>
      <c r="E53" t="s" s="25">
        <v>247</v>
      </c>
      <c r="F53" s="48"/>
      <c r="G53" s="22"/>
      <c r="H53" s="22"/>
      <c r="I53" s="22"/>
      <c r="J53" s="22"/>
    </row>
    <row r="54" ht="16.85" customHeight="1">
      <c r="A54" t="s" s="26">
        <v>248</v>
      </c>
      <c r="B54" s="64">
        <v>125000</v>
      </c>
      <c r="C54" s="64">
        <v>138000</v>
      </c>
      <c r="D54" s="64">
        <v>142000</v>
      </c>
      <c r="E54" s="64">
        <v>156000</v>
      </c>
      <c r="F54" s="48"/>
      <c r="G54" s="22"/>
      <c r="H54" s="22"/>
      <c r="I54" s="22"/>
      <c r="J54" s="22"/>
    </row>
    <row r="55" ht="16.85" customHeight="1">
      <c r="A55" t="s" s="26">
        <v>249</v>
      </c>
      <c r="B55" s="64">
        <v>98000</v>
      </c>
      <c r="C55" s="64">
        <v>101000</v>
      </c>
      <c r="D55" s="64">
        <v>99500</v>
      </c>
      <c r="E55" s="64">
        <v>108000</v>
      </c>
      <c r="F55" s="48"/>
      <c r="G55" s="22"/>
      <c r="H55" s="22"/>
      <c r="I55" s="22"/>
      <c r="J55" s="22"/>
    </row>
    <row r="56" ht="16.85" customHeight="1">
      <c r="A56" t="s" s="26">
        <v>250</v>
      </c>
      <c r="B56" s="64">
        <v>27000</v>
      </c>
      <c r="C56" s="64">
        <v>37000</v>
      </c>
      <c r="D56" s="64">
        <v>42500</v>
      </c>
      <c r="E56" s="64">
        <v>48000</v>
      </c>
      <c r="F56" s="48"/>
      <c r="G56" s="22"/>
      <c r="H56" s="22"/>
      <c r="I56" s="22"/>
      <c r="J56" s="22"/>
    </row>
    <row r="57" ht="15.6" customHeight="1">
      <c r="A57" s="65"/>
      <c r="B57" s="49"/>
      <c r="C57" s="65"/>
      <c r="D57" s="49"/>
      <c r="E57" s="49"/>
      <c r="F57" s="22"/>
      <c r="G57" s="22"/>
      <c r="H57" s="22"/>
      <c r="I57" s="22"/>
      <c r="J57" s="22"/>
    </row>
    <row r="58" ht="16.85" customHeight="1">
      <c r="A58" t="s" s="26">
        <v>251</v>
      </c>
      <c r="B58" s="41"/>
      <c r="C58" s="66" cm="1">
        <f t="array" ref="C58">HLOOKUP("Q3",$A$53:$E$56,3,FALSE())</f>
        <v>99500</v>
      </c>
      <c r="D58" s="48"/>
      <c r="E58" s="22"/>
      <c r="F58" s="22"/>
      <c r="G58" s="22"/>
      <c r="H58" s="22"/>
      <c r="I58" s="22"/>
      <c r="J58" s="22"/>
    </row>
    <row r="59" ht="16.85" customHeight="1">
      <c r="A59" t="s" s="26">
        <v>252</v>
      </c>
      <c r="B59" s="41"/>
      <c r="C59" t="s" s="67">
        <v>253</v>
      </c>
      <c r="D59" s="48"/>
      <c r="E59" s="22"/>
      <c r="F59" s="22"/>
      <c r="G59" s="22"/>
      <c r="H59" s="22"/>
      <c r="I59" s="22"/>
      <c r="J59" s="22"/>
    </row>
    <row r="60" ht="16.85" customHeight="1">
      <c r="A60" t="s" s="26">
        <v>254</v>
      </c>
      <c r="B60" s="41"/>
      <c r="C60" t="s" s="67">
        <v>253</v>
      </c>
      <c r="D60" s="48"/>
      <c r="E60" s="22"/>
      <c r="F60" s="22"/>
      <c r="G60" s="22"/>
      <c r="H60" s="22"/>
      <c r="I60" s="22"/>
      <c r="J60" s="22"/>
    </row>
  </sheetData>
  <mergeCells count="4">
    <mergeCell ref="A2:H3"/>
    <mergeCell ref="A6:H6"/>
    <mergeCell ref="A40:H40"/>
    <mergeCell ref="A51:H5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36"/>
  <sheetViews>
    <sheetView workbookViewId="0" showGridLines="0" defaultGridColor="1"/>
  </sheetViews>
  <sheetFormatPr defaultColWidth="8.66667" defaultRowHeight="15" customHeight="1" outlineLevelRow="0" outlineLevelCol="0"/>
  <cols>
    <col min="1" max="1" width="36.5781" style="68" customWidth="1"/>
    <col min="2" max="2" width="14.8672" style="68" customWidth="1"/>
    <col min="3" max="3" width="34.2891" style="68" customWidth="1"/>
    <col min="4" max="4" width="36.5781" style="68" customWidth="1"/>
    <col min="5" max="5" width="70.5469" style="68" customWidth="1"/>
    <col min="6" max="8" width="9.92969" style="68" customWidth="1"/>
    <col min="9" max="16384" width="8.67188" style="68" customWidth="1"/>
  </cols>
  <sheetData>
    <row r="1" ht="21.5" customHeight="1">
      <c r="A1" t="s" s="7">
        <v>255</v>
      </c>
      <c r="B1" s="69"/>
      <c r="C1" s="69"/>
      <c r="D1" s="69"/>
      <c r="E1" s="69"/>
      <c r="F1" s="70"/>
      <c r="G1" s="70"/>
      <c r="H1" s="70"/>
    </row>
    <row r="2" ht="17.4" customHeight="1">
      <c r="A2" t="s" s="23">
        <v>256</v>
      </c>
      <c r="B2" s="10"/>
      <c r="C2" s="10"/>
      <c r="D2" s="10"/>
      <c r="E2" s="10"/>
      <c r="F2" s="10"/>
      <c r="G2" s="10"/>
      <c r="H2" s="10"/>
    </row>
    <row r="3" ht="9.85" customHeight="1">
      <c r="A3" s="10"/>
      <c r="B3" s="10"/>
      <c r="C3" s="10"/>
      <c r="D3" s="10"/>
      <c r="E3" s="10"/>
      <c r="F3" s="10"/>
      <c r="G3" s="10"/>
      <c r="H3" s="10"/>
    </row>
    <row r="4" ht="15.75" customHeight="1">
      <c r="A4" s="69"/>
      <c r="B4" s="69"/>
      <c r="C4" s="69"/>
      <c r="D4" s="69"/>
      <c r="E4" s="69"/>
      <c r="F4" s="70"/>
      <c r="G4" s="70"/>
      <c r="H4" s="70"/>
    </row>
    <row r="5" ht="19.25" customHeight="1">
      <c r="A5" t="s" s="40">
        <v>257</v>
      </c>
      <c r="B5" s="69"/>
      <c r="C5" s="69"/>
      <c r="D5" s="69"/>
      <c r="E5" s="69"/>
      <c r="F5" s="70"/>
      <c r="G5" s="70"/>
      <c r="H5" s="70"/>
    </row>
    <row r="6" ht="17.4" customHeight="1">
      <c r="A6" t="s" s="23">
        <v>258</v>
      </c>
      <c r="B6" s="10"/>
      <c r="C6" s="10"/>
      <c r="D6" s="10"/>
      <c r="E6" s="10"/>
      <c r="F6" s="10"/>
      <c r="G6" s="10"/>
      <c r="H6" s="10"/>
    </row>
    <row r="7" ht="15.75" customHeight="1">
      <c r="A7" s="71"/>
      <c r="B7" s="71"/>
      <c r="C7" s="71"/>
      <c r="D7" s="71"/>
      <c r="E7" s="71"/>
      <c r="F7" s="70"/>
      <c r="G7" s="70"/>
      <c r="H7" s="70"/>
    </row>
    <row r="8" ht="17" customHeight="1">
      <c r="A8" t="s" s="25">
        <v>131</v>
      </c>
      <c r="B8" t="s" s="25">
        <v>33</v>
      </c>
      <c r="C8" t="s" s="25">
        <v>133</v>
      </c>
      <c r="D8" t="s" s="25">
        <v>259</v>
      </c>
      <c r="E8" t="s" s="25">
        <v>260</v>
      </c>
      <c r="F8" s="72"/>
      <c r="G8" s="70"/>
      <c r="H8" s="70"/>
    </row>
    <row r="9" ht="17" customHeight="1">
      <c r="A9" t="str" s="42" cm="1">
        <f t="array" ref="A9">'Bestellungen'!A5</f>
        <v>B001</v>
      </c>
      <c r="B9" t="str" s="42" cm="1">
        <f t="array" ref="B9">'Bestellungen'!B5</f>
        <v>A004</v>
      </c>
      <c r="C9" s="43" cm="1">
        <f t="array" ref="C9">'Bestellungen'!D5</f>
        <v>12</v>
      </c>
      <c r="D9" t="str" s="44" cm="1">
        <f t="array" ref="D9">INDEX('Stammdaten_Artikel'!$B$5:$B$24,MATCH($B9,'Stammdaten_Artikel'!$A$5:$A$24,0))</f>
        <v>Maus optisch</v>
      </c>
      <c r="E9" t="str" s="44" cm="1">
        <f t="array" ref="E9">INDEX('Stammdaten_Artikel'!$C$5:$C$24,MATCH(B9,'Stammdaten_Artikel'!$A$5:$A$24,0))</f>
        <v>Elektronik</v>
      </c>
      <c r="F9" s="72"/>
      <c r="G9" s="70"/>
      <c r="H9" s="70"/>
    </row>
    <row r="10" ht="17" customHeight="1">
      <c r="A10" t="str" s="42" cm="1">
        <f t="array" ref="A10">'Bestellungen'!A6</f>
        <v>B002</v>
      </c>
      <c r="B10" t="str" s="42" cm="1">
        <f t="array" ref="B10">'Bestellungen'!B6</f>
        <v>A004</v>
      </c>
      <c r="C10" s="43" cm="1">
        <f t="array" ref="C10">'Bestellungen'!D6</f>
        <v>5</v>
      </c>
      <c r="D10" t="str" s="44" cm="1">
        <f t="array" ref="D10">INDEX('Stammdaten_Artikel'!$B$5:$B$24,MATCH($B10,'Stammdaten_Artikel'!$A$5:$A$24,0))</f>
        <v>Maus optisch</v>
      </c>
      <c r="E10" t="str" s="44" cm="1">
        <f t="array" ref="E10">INDEX('Stammdaten_Artikel'!$C$5:$C$24,MATCH(B10,'Stammdaten_Artikel'!$A$5:$A$24,0))</f>
        <v>Elektronik</v>
      </c>
      <c r="F10" s="72"/>
      <c r="G10" s="70"/>
      <c r="H10" s="70"/>
    </row>
    <row r="11" ht="17" customHeight="1">
      <c r="A11" t="str" s="42" cm="1">
        <f t="array" ref="A11">'Bestellungen'!A7</f>
        <v>B003</v>
      </c>
      <c r="B11" t="str" s="42" cm="1">
        <f t="array" ref="B11">'Bestellungen'!B7</f>
        <v>A001</v>
      </c>
      <c r="C11" s="43" cm="1">
        <f t="array" ref="C11">'Bestellungen'!D7</f>
        <v>5</v>
      </c>
      <c r="D11" t="str" s="44" cm="1">
        <f t="array" ref="D11">INDEX('Stammdaten_Artikel'!$B$5:$B$24,MATCH($B11,'Stammdaten_Artikel'!$A$5:$A$24,0))</f>
        <v>Laptop 14 Zoll</v>
      </c>
      <c r="E11" t="str" s="44" cm="1">
        <f t="array" ref="E11">INDEX('Stammdaten_Artikel'!$C$5:$C$24,MATCH(B11,'Stammdaten_Artikel'!$A$5:$A$24,0))</f>
        <v>Elektronik</v>
      </c>
      <c r="F11" s="72"/>
      <c r="G11" s="70"/>
      <c r="H11" s="70"/>
    </row>
    <row r="12" ht="17" customHeight="1">
      <c r="A12" t="str" s="42" cm="1">
        <f t="array" ref="A12">'Bestellungen'!A8</f>
        <v>B004</v>
      </c>
      <c r="B12" t="str" s="42" cm="1">
        <f t="array" ref="B12">'Bestellungen'!B8</f>
        <v>A020</v>
      </c>
      <c r="C12" s="43" cm="1">
        <f t="array" ref="C12">'Bestellungen'!D8</f>
        <v>30</v>
      </c>
      <c r="D12" t="str" s="44" cm="1">
        <f t="array" ref="D12">INDEX('Stammdaten_Artikel'!$B$5:$B$24,MATCH($B12,'Stammdaten_Artikel'!$A$5:$A$24,0))</f>
        <v>Webcam</v>
      </c>
      <c r="E12" t="str" s="44" cm="1">
        <f t="array" ref="E12">INDEX('Stammdaten_Artikel'!$C$5:$C$24,MATCH(B12,'Stammdaten_Artikel'!$A$5:$A$24,0))</f>
        <v>Elektronik</v>
      </c>
      <c r="F12" s="72"/>
      <c r="G12" s="70"/>
      <c r="H12" s="70"/>
    </row>
    <row r="13" ht="17" customHeight="1">
      <c r="A13" t="str" s="42" cm="1">
        <f t="array" ref="A13">'Bestellungen'!A9</f>
        <v>B005</v>
      </c>
      <c r="B13" t="str" s="42" cm="1">
        <f t="array" ref="B13">'Bestellungen'!B9</f>
        <v>A018</v>
      </c>
      <c r="C13" s="43" cm="1">
        <f t="array" ref="C13">'Bestellungen'!D9</f>
        <v>10</v>
      </c>
      <c r="D13" t="str" s="44" cm="1">
        <f t="array" ref="D13">INDEX('Stammdaten_Artikel'!$B$5:$B$24,MATCH($B13,'Stammdaten_Artikel'!$A$5:$A$24,0))</f>
        <v>Luftpolsterfolie</v>
      </c>
      <c r="E13" t="str" s="44" cm="1">
        <f t="array" ref="E13">INDEX('Stammdaten_Artikel'!$C$5:$C$24,MATCH(B13,'Stammdaten_Artikel'!$A$5:$A$24,0))</f>
        <v>Verpackung</v>
      </c>
      <c r="F13" s="72"/>
      <c r="G13" s="70"/>
      <c r="H13" s="70"/>
    </row>
    <row r="14" ht="17" customHeight="1">
      <c r="A14" t="str" s="42" cm="1">
        <f t="array" ref="A14">'Bestellungen'!A10</f>
        <v>B006</v>
      </c>
      <c r="B14" t="str" s="42" cm="1">
        <f t="array" ref="B14">'Bestellungen'!B10</f>
        <v>A009</v>
      </c>
      <c r="C14" s="43" cm="1">
        <f t="array" ref="C14">'Bestellungen'!D10</f>
        <v>8</v>
      </c>
      <c r="D14" t="str" s="44" cm="1">
        <f t="array" ref="D14">INDEX('Stammdaten_Artikel'!$B$5:$B$24,MATCH($B14,'Stammdaten_Artikel'!$A$5:$A$24,0))</f>
        <v>Ordner A4</v>
      </c>
      <c r="E14" t="str" s="44" cm="1">
        <f t="array" ref="E14">INDEX('Stammdaten_Artikel'!$C$5:$C$24,MATCH(B14,'Stammdaten_Artikel'!$A$5:$A$24,0))</f>
        <v>Bueromaterial</v>
      </c>
      <c r="F14" s="72"/>
      <c r="G14" s="70"/>
      <c r="H14" s="70"/>
    </row>
    <row r="15" ht="17" customHeight="1">
      <c r="A15" t="str" s="42" cm="1">
        <f t="array" ref="A15">'Bestellungen'!A11</f>
        <v>B007</v>
      </c>
      <c r="B15" t="str" s="42" cm="1">
        <f t="array" ref="B15">'Bestellungen'!B11</f>
        <v>A005</v>
      </c>
      <c r="C15" s="43" cm="1">
        <f t="array" ref="C15">'Bestellungen'!D11</f>
        <v>15</v>
      </c>
      <c r="D15" t="str" s="44" cm="1">
        <f t="array" ref="D15">INDEX('Stammdaten_Artikel'!$B$5:$B$24,MATCH($B15,'Stammdaten_Artikel'!$A$5:$A$24,0))</f>
        <v>USB-C Kabel</v>
      </c>
      <c r="E15" t="str" s="44" cm="1">
        <f t="array" ref="E15">INDEX('Stammdaten_Artikel'!$C$5:$C$24,MATCH(B15,'Stammdaten_Artikel'!$A$5:$A$24,0))</f>
        <v>IT-Zubehoer</v>
      </c>
      <c r="F15" s="72"/>
      <c r="G15" s="70"/>
      <c r="H15" s="70"/>
    </row>
    <row r="16" ht="17" customHeight="1">
      <c r="A16" t="str" s="42" cm="1">
        <f t="array" ref="A16">'Bestellungen'!A12</f>
        <v>B008</v>
      </c>
      <c r="B16" t="str" s="42" cm="1">
        <f t="array" ref="B16">'Bestellungen'!B12</f>
        <v>A004</v>
      </c>
      <c r="C16" s="43" cm="1">
        <f t="array" ref="C16">'Bestellungen'!D12</f>
        <v>15</v>
      </c>
      <c r="D16" t="str" s="44" cm="1">
        <f t="array" ref="D16">INDEX('Stammdaten_Artikel'!$B$5:$B$24,MATCH($B16,'Stammdaten_Artikel'!$A$5:$A$24,0))</f>
        <v>Maus optisch</v>
      </c>
      <c r="E16" t="str" s="44" cm="1">
        <f t="array" ref="E16">INDEX('Stammdaten_Artikel'!$C$5:$C$24,MATCH(B16,'Stammdaten_Artikel'!$A$5:$A$24,0))</f>
        <v>Elektronik</v>
      </c>
      <c r="F16" s="72"/>
      <c r="G16" s="70"/>
      <c r="H16" s="70"/>
    </row>
    <row r="17" ht="17" customHeight="1">
      <c r="A17" t="str" s="42" cm="1">
        <f t="array" ref="A17">'Bestellungen'!A13</f>
        <v>B009</v>
      </c>
      <c r="B17" t="str" s="42" cm="1">
        <f t="array" ref="B17">'Bestellungen'!B13</f>
        <v>A015</v>
      </c>
      <c r="C17" s="43" cm="1">
        <f t="array" ref="C17">'Bestellungen'!D13</f>
        <v>5</v>
      </c>
      <c r="D17" t="str" s="44" cm="1">
        <f t="array" ref="D17">INDEX('Stammdaten_Artikel'!$B$5:$B$24,MATCH($B17,'Stammdaten_Artikel'!$A$5:$A$24,0))</f>
        <v>Kartonbox klein</v>
      </c>
      <c r="E17" t="str" s="44" cm="1">
        <f t="array" ref="E17">INDEX('Stammdaten_Artikel'!$C$5:$C$24,MATCH(B17,'Stammdaten_Artikel'!$A$5:$A$24,0))</f>
        <v>Verpackung</v>
      </c>
      <c r="F17" s="72"/>
      <c r="G17" s="70"/>
      <c r="H17" s="70"/>
    </row>
    <row r="18" ht="17" customHeight="1">
      <c r="A18" t="str" s="42" cm="1">
        <f t="array" ref="A18">'Bestellungen'!A14</f>
        <v>B010</v>
      </c>
      <c r="B18" t="str" s="42" cm="1">
        <f t="array" ref="B18">'Bestellungen'!B14</f>
        <v>A020</v>
      </c>
      <c r="C18" s="43" cm="1">
        <f t="array" ref="C18">'Bestellungen'!D14</f>
        <v>40</v>
      </c>
      <c r="D18" t="str" s="44" cm="1">
        <f t="array" ref="D18">INDEX('Stammdaten_Artikel'!$B$5:$B$24,MATCH($B18,'Stammdaten_Artikel'!$A$5:$A$24,0))</f>
        <v>Webcam</v>
      </c>
      <c r="E18" t="str" s="44" cm="1">
        <f t="array" ref="E18">INDEX('Stammdaten_Artikel'!$C$5:$C$24,MATCH(B18,'Stammdaten_Artikel'!$A$5:$A$24,0))</f>
        <v>Elektronik</v>
      </c>
      <c r="F18" s="72"/>
      <c r="G18" s="70"/>
      <c r="H18" s="70"/>
    </row>
    <row r="19" ht="17" customHeight="1">
      <c r="A19" t="str" s="42" cm="1">
        <f t="array" ref="A19">'Bestellungen'!A15</f>
        <v>B011</v>
      </c>
      <c r="B19" t="str" s="42" cm="1">
        <f t="array" ref="B19">'Bestellungen'!B15</f>
        <v>A003</v>
      </c>
      <c r="C19" s="43" cm="1">
        <f t="array" ref="C19">'Bestellungen'!D15</f>
        <v>50</v>
      </c>
      <c r="D19" t="str" s="44" cm="1">
        <f t="array" ref="D19">INDEX('Stammdaten_Artikel'!$B$5:$B$24,MATCH($B19,'Stammdaten_Artikel'!$A$5:$A$24,0))</f>
        <v>Tastatur kabellos</v>
      </c>
      <c r="E19" t="str" s="44" cm="1">
        <f t="array" ref="E19">INDEX('Stammdaten_Artikel'!$C$5:$C$24,MATCH(B19,'Stammdaten_Artikel'!$A$5:$A$24,0))</f>
        <v>Elektronik</v>
      </c>
      <c r="F19" s="72"/>
      <c r="G19" s="70"/>
      <c r="H19" s="70"/>
    </row>
    <row r="20" ht="17" customHeight="1">
      <c r="A20" t="str" s="42" cm="1">
        <f t="array" ref="A20">'Bestellungen'!A16</f>
        <v>B012</v>
      </c>
      <c r="B20" t="str" s="42" cm="1">
        <f t="array" ref="B20">'Bestellungen'!B16</f>
        <v>A008</v>
      </c>
      <c r="C20" s="43" cm="1">
        <f t="array" ref="C20">'Bestellungen'!D16</f>
        <v>20</v>
      </c>
      <c r="D20" t="str" s="44" cm="1">
        <f t="array" ref="D20">INDEX('Stammdaten_Artikel'!$B$5:$B$24,MATCH($B20,'Stammdaten_Artikel'!$A$5:$A$24,0))</f>
        <v>Kugelschreiber</v>
      </c>
      <c r="E20" t="str" s="44" cm="1">
        <f t="array" ref="E20">INDEX('Stammdaten_Artikel'!$C$5:$C$24,MATCH(B20,'Stammdaten_Artikel'!$A$5:$A$24,0))</f>
        <v>Bueromaterial</v>
      </c>
      <c r="F20" s="72"/>
      <c r="G20" s="70"/>
      <c r="H20" s="70"/>
    </row>
    <row r="21" ht="17" customHeight="1">
      <c r="A21" t="str" s="42" cm="1">
        <f t="array" ref="A21">'Bestellungen'!A17</f>
        <v>B013</v>
      </c>
      <c r="B21" t="str" s="42" cm="1">
        <f t="array" ref="B21">'Bestellungen'!B17</f>
        <v>A006</v>
      </c>
      <c r="C21" s="43" cm="1">
        <f t="array" ref="C21">'Bestellungen'!D17</f>
        <v>15</v>
      </c>
      <c r="D21" t="str" s="44" cm="1">
        <f t="array" ref="D21">INDEX('Stammdaten_Artikel'!$B$5:$B$24,MATCH($B21,'Stammdaten_Artikel'!$A$5:$A$24,0))</f>
        <v>Headset</v>
      </c>
      <c r="E21" t="str" s="44" cm="1">
        <f t="array" ref="E21">INDEX('Stammdaten_Artikel'!$C$5:$C$24,MATCH(B21,'Stammdaten_Artikel'!$A$5:$A$24,0))</f>
        <v>Elektronik</v>
      </c>
      <c r="F21" s="72"/>
      <c r="G21" s="70"/>
      <c r="H21" s="70"/>
    </row>
    <row r="22" ht="17" customHeight="1">
      <c r="A22" t="str" s="42" cm="1">
        <f t="array" ref="A22">'Bestellungen'!A18</f>
        <v>B014</v>
      </c>
      <c r="B22" t="str" s="42" cm="1">
        <f t="array" ref="B22">'Bestellungen'!B18</f>
        <v>A009</v>
      </c>
      <c r="C22" s="43" cm="1">
        <f t="array" ref="C22">'Bestellungen'!D18</f>
        <v>5</v>
      </c>
      <c r="D22" t="str" s="44" cm="1">
        <f t="array" ref="D22">INDEX('Stammdaten_Artikel'!$B$5:$B$24,MATCH($B22,'Stammdaten_Artikel'!$A$5:$A$24,0))</f>
        <v>Ordner A4</v>
      </c>
      <c r="E22" t="str" s="44" cm="1">
        <f t="array" ref="E22">INDEX('Stammdaten_Artikel'!$C$5:$C$24,MATCH(B22,'Stammdaten_Artikel'!$A$5:$A$24,0))</f>
        <v>Bueromaterial</v>
      </c>
      <c r="F22" s="72"/>
      <c r="G22" s="70"/>
      <c r="H22" s="70"/>
    </row>
    <row r="23" ht="17" customHeight="1">
      <c r="A23" t="str" s="42" cm="1">
        <f t="array" ref="A23">'Bestellungen'!A19</f>
        <v>B015</v>
      </c>
      <c r="B23" t="str" s="42" cm="1">
        <f t="array" ref="B23">'Bestellungen'!B19</f>
        <v>A006</v>
      </c>
      <c r="C23" s="43" cm="1">
        <f t="array" ref="C23">'Bestellungen'!D19</f>
        <v>10</v>
      </c>
      <c r="D23" t="str" s="44" cm="1">
        <f t="array" ref="D23">INDEX('Stammdaten_Artikel'!$B$5:$B$24,MATCH($B23,'Stammdaten_Artikel'!$A$5:$A$24,0))</f>
        <v>Headset</v>
      </c>
      <c r="E23" t="str" s="44" cm="1">
        <f t="array" ref="E23">INDEX('Stammdaten_Artikel'!$C$5:$C$24,MATCH(B23,'Stammdaten_Artikel'!$A$5:$A$24,0))</f>
        <v>Elektronik</v>
      </c>
      <c r="F23" s="72"/>
      <c r="G23" s="70"/>
      <c r="H23" s="70"/>
    </row>
    <row r="24" ht="15.75" customHeight="1">
      <c r="A24" s="73"/>
      <c r="B24" s="73"/>
      <c r="C24" s="73"/>
      <c r="D24" s="73"/>
      <c r="E24" s="73"/>
      <c r="F24" s="70"/>
      <c r="G24" s="70"/>
      <c r="H24" s="70"/>
    </row>
    <row r="25" ht="15.75" customHeight="1">
      <c r="A25" s="69"/>
      <c r="B25" s="69"/>
      <c r="C25" s="69"/>
      <c r="D25" s="69"/>
      <c r="E25" s="69"/>
      <c r="F25" s="70"/>
      <c r="G25" s="70"/>
      <c r="H25" s="70"/>
    </row>
    <row r="26" ht="15.75" customHeight="1">
      <c r="A26" s="69"/>
      <c r="B26" s="69"/>
      <c r="C26" s="69"/>
      <c r="D26" s="69"/>
      <c r="E26" s="69"/>
      <c r="F26" s="70"/>
      <c r="G26" s="70"/>
      <c r="H26" s="70"/>
    </row>
    <row r="27" ht="15.75" customHeight="1">
      <c r="A27" s="69"/>
      <c r="B27" s="69"/>
      <c r="C27" s="69"/>
      <c r="D27" s="69"/>
      <c r="E27" s="69"/>
      <c r="F27" s="70"/>
      <c r="G27" s="70"/>
      <c r="H27" s="70"/>
    </row>
    <row r="28" ht="19.25" customHeight="1">
      <c r="A28" t="s" s="40">
        <v>261</v>
      </c>
      <c r="B28" s="69"/>
      <c r="C28" s="69"/>
      <c r="D28" s="69"/>
      <c r="E28" s="69"/>
      <c r="F28" s="70"/>
      <c r="G28" s="70"/>
      <c r="H28" s="70"/>
    </row>
    <row r="29" ht="27.7" customHeight="1">
      <c r="A29" t="s" s="23">
        <v>262</v>
      </c>
      <c r="B29" s="10"/>
      <c r="C29" s="10"/>
      <c r="D29" s="10"/>
      <c r="E29" s="10"/>
      <c r="F29" s="10"/>
      <c r="G29" s="10"/>
      <c r="H29" s="10"/>
    </row>
    <row r="30" ht="15.75" customHeight="1">
      <c r="A30" s="71"/>
      <c r="B30" s="69"/>
      <c r="C30" s="71"/>
      <c r="D30" s="69"/>
      <c r="E30" s="69"/>
      <c r="F30" s="70"/>
      <c r="G30" s="70"/>
      <c r="H30" s="70"/>
    </row>
    <row r="31" ht="17" customHeight="1">
      <c r="A31" t="s" s="26">
        <v>263</v>
      </c>
      <c r="B31" s="74"/>
      <c r="C31" t="s" s="75">
        <v>76</v>
      </c>
      <c r="D31" s="76"/>
      <c r="E31" s="69"/>
      <c r="F31" s="70"/>
      <c r="G31" s="70"/>
      <c r="H31" s="70"/>
    </row>
    <row r="32" ht="17" customHeight="1">
      <c r="A32" t="s" s="26">
        <v>264</v>
      </c>
      <c r="B32" s="74"/>
      <c r="C32" t="str" s="44" cm="1">
        <f t="array" ref="C32">INDEX('Stammdaten_Artikel'!$A$5:$A$24,MATCH(C31,'Stammdaten_Artikel'!$B$5:$B$24,0))</f>
        <v>A012</v>
      </c>
      <c r="D32" s="76"/>
      <c r="E32" s="69"/>
      <c r="F32" s="70"/>
      <c r="G32" s="70"/>
      <c r="H32" s="70"/>
    </row>
    <row r="33" ht="15.75" customHeight="1">
      <c r="A33" s="73"/>
      <c r="B33" s="69"/>
      <c r="C33" s="73"/>
      <c r="D33" s="69"/>
      <c r="E33" s="69"/>
      <c r="F33" s="70"/>
      <c r="G33" s="70"/>
      <c r="H33" s="70"/>
    </row>
    <row r="34" ht="15.75" customHeight="1">
      <c r="A34" s="71"/>
      <c r="B34" s="69"/>
      <c r="C34" s="71"/>
      <c r="D34" s="69"/>
      <c r="E34" s="69"/>
      <c r="F34" s="70"/>
      <c r="G34" s="70"/>
      <c r="H34" s="70"/>
    </row>
    <row r="35" ht="17" customHeight="1">
      <c r="A35" t="s" s="26">
        <v>263</v>
      </c>
      <c r="B35" s="74"/>
      <c r="C35" t="s" s="75">
        <v>71</v>
      </c>
      <c r="D35" s="76"/>
      <c r="E35" s="69"/>
      <c r="F35" s="70"/>
      <c r="G35" s="70"/>
      <c r="H35" s="70"/>
    </row>
    <row r="36" ht="17" customHeight="1">
      <c r="A36" t="s" s="26">
        <v>266</v>
      </c>
      <c r="B36" s="74"/>
      <c r="C36" t="s" s="77">
        <v>267</v>
      </c>
      <c r="D36" s="76"/>
      <c r="E36" s="69"/>
      <c r="F36" s="70"/>
      <c r="G36" s="70"/>
      <c r="H36" s="70"/>
    </row>
  </sheetData>
  <mergeCells count="3">
    <mergeCell ref="A2:H3"/>
    <mergeCell ref="A6:H6"/>
    <mergeCell ref="A29:H2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38"/>
  <sheetViews>
    <sheetView workbookViewId="0" showGridLines="0" defaultGridColor="1"/>
  </sheetViews>
  <sheetFormatPr defaultColWidth="8.66667" defaultRowHeight="15" customHeight="1" outlineLevelRow="0" outlineLevelCol="0"/>
  <cols>
    <col min="1" max="1" width="52.4688" style="78" customWidth="1"/>
    <col min="2" max="2" width="5.53906" style="78" customWidth="1"/>
    <col min="3" max="3" width="46.9531" style="78" customWidth="1"/>
    <col min="4" max="4" width="19.3359" style="78" customWidth="1"/>
    <col min="5" max="8" width="11.9844" style="78" customWidth="1"/>
    <col min="9" max="16384" width="8.67188" style="78" customWidth="1"/>
  </cols>
  <sheetData>
    <row r="1" ht="24.35" customHeight="1">
      <c r="A1" t="s" s="7">
        <v>268</v>
      </c>
      <c r="B1" s="22"/>
      <c r="C1" s="22"/>
      <c r="D1" s="22"/>
      <c r="E1" s="29"/>
      <c r="F1" s="29"/>
      <c r="G1" s="29"/>
      <c r="H1" s="29"/>
    </row>
    <row r="2" ht="19.7" customHeight="1">
      <c r="A2" t="s" s="23">
        <v>269</v>
      </c>
      <c r="B2" s="10"/>
      <c r="C2" s="10"/>
      <c r="D2" s="10"/>
      <c r="E2" s="10"/>
      <c r="F2" s="10"/>
      <c r="G2" s="10"/>
      <c r="H2" s="10"/>
    </row>
    <row r="3" ht="11.15" customHeight="1">
      <c r="A3" s="10"/>
      <c r="B3" s="10"/>
      <c r="C3" s="10"/>
      <c r="D3" s="10"/>
      <c r="E3" s="10"/>
      <c r="F3" s="10"/>
      <c r="G3" s="10"/>
      <c r="H3" s="10"/>
    </row>
    <row r="4" ht="17.8" customHeight="1">
      <c r="A4" s="22"/>
      <c r="B4" s="22"/>
      <c r="C4" s="22"/>
      <c r="D4" s="22"/>
      <c r="E4" s="29"/>
      <c r="F4" s="29"/>
      <c r="G4" s="29"/>
      <c r="H4" s="29"/>
    </row>
    <row r="5" ht="21.8" customHeight="1">
      <c r="A5" t="s" s="40">
        <v>270</v>
      </c>
      <c r="B5" s="22"/>
      <c r="C5" s="22"/>
      <c r="D5" s="22"/>
      <c r="E5" s="29"/>
      <c r="F5" s="29"/>
      <c r="G5" s="29"/>
      <c r="H5" s="29"/>
    </row>
    <row r="6" ht="31.3" customHeight="1">
      <c r="A6" t="s" s="23">
        <v>271</v>
      </c>
      <c r="B6" s="10"/>
      <c r="C6" s="10"/>
      <c r="D6" s="10"/>
      <c r="E6" s="10"/>
      <c r="F6" s="10"/>
      <c r="G6" s="10"/>
      <c r="H6" s="10"/>
    </row>
    <row r="7" ht="17.8" customHeight="1">
      <c r="A7" s="24"/>
      <c r="B7" s="22"/>
      <c r="C7" s="24"/>
      <c r="D7" s="22"/>
      <c r="E7" s="29"/>
      <c r="F7" s="29"/>
      <c r="G7" s="29"/>
      <c r="H7" s="29"/>
    </row>
    <row r="8" ht="19.2" customHeight="1">
      <c r="A8" t="s" s="26">
        <v>263</v>
      </c>
      <c r="B8" s="41"/>
      <c r="C8" t="s" s="75">
        <v>76</v>
      </c>
      <c r="D8" s="48"/>
      <c r="E8" s="29"/>
      <c r="F8" s="29"/>
      <c r="G8" s="29"/>
      <c r="H8" s="29"/>
    </row>
    <row r="9" ht="19.2" customHeight="1">
      <c r="A9" t="s" s="26">
        <v>272</v>
      </c>
      <c r="B9" s="41"/>
      <c r="C9" t="str" s="44" cm="1">
        <f t="array" ref="C9">_xlfn.XLOOKUP(C8,'Stammdaten_Artikel'!$B$5:$B$24,'Stammdaten_Artikel'!$A$5:$A$24)</f>
        <v>A012</v>
      </c>
      <c r="D9" s="48"/>
      <c r="E9" s="29"/>
      <c r="F9" s="29"/>
      <c r="G9" s="29"/>
      <c r="H9" s="29"/>
    </row>
    <row r="10" ht="17.8" customHeight="1">
      <c r="A10" s="49"/>
      <c r="B10" s="22"/>
      <c r="C10" s="49"/>
      <c r="D10" s="22"/>
      <c r="E10" s="29"/>
      <c r="F10" s="29"/>
      <c r="G10" s="29"/>
      <c r="H10" s="29"/>
    </row>
    <row r="11" ht="17.8" customHeight="1">
      <c r="A11" s="24"/>
      <c r="B11" s="22"/>
      <c r="C11" s="24"/>
      <c r="D11" s="22"/>
      <c r="E11" s="29"/>
      <c r="F11" s="29"/>
      <c r="G11" s="29"/>
      <c r="H11" s="29"/>
    </row>
    <row r="12" ht="19.2" customHeight="1">
      <c r="A12" t="s" s="26">
        <v>263</v>
      </c>
      <c r="B12" s="41"/>
      <c r="C12" t="s" s="75">
        <v>67</v>
      </c>
      <c r="D12" s="48"/>
      <c r="E12" s="29"/>
      <c r="F12" s="29"/>
      <c r="G12" s="29"/>
      <c r="H12" s="29"/>
    </row>
    <row r="13" ht="19.2" customHeight="1">
      <c r="A13" t="s" s="26">
        <v>273</v>
      </c>
      <c r="B13" s="41"/>
      <c r="C13" t="s" s="77">
        <v>274</v>
      </c>
      <c r="D13" s="48"/>
      <c r="E13" s="29"/>
      <c r="F13" s="29"/>
      <c r="G13" s="29"/>
      <c r="H13" s="29"/>
    </row>
    <row r="14" ht="17.8" customHeight="1">
      <c r="A14" s="49"/>
      <c r="B14" s="22"/>
      <c r="C14" s="49"/>
      <c r="D14" s="22"/>
      <c r="E14" s="29"/>
      <c r="F14" s="29"/>
      <c r="G14" s="29"/>
      <c r="H14" s="29"/>
    </row>
    <row r="15" ht="17.8" customHeight="1">
      <c r="A15" s="22"/>
      <c r="B15" s="22"/>
      <c r="C15" s="22"/>
      <c r="D15" s="22"/>
      <c r="E15" s="29"/>
      <c r="F15" s="29"/>
      <c r="G15" s="29"/>
      <c r="H15" s="29"/>
    </row>
    <row r="16" ht="21.8" customHeight="1">
      <c r="A16" t="s" s="40">
        <v>275</v>
      </c>
      <c r="B16" s="22"/>
      <c r="C16" s="22"/>
      <c r="D16" s="22"/>
      <c r="E16" s="29"/>
      <c r="F16" s="29"/>
      <c r="G16" s="29"/>
      <c r="H16" s="29"/>
    </row>
    <row r="17" ht="31.3" customHeight="1">
      <c r="A17" t="s" s="23">
        <v>276</v>
      </c>
      <c r="B17" s="10"/>
      <c r="C17" s="10"/>
      <c r="D17" s="10"/>
      <c r="E17" s="10"/>
      <c r="F17" s="10"/>
      <c r="G17" s="10"/>
      <c r="H17" s="10"/>
    </row>
    <row r="18" ht="17.8" customHeight="1">
      <c r="A18" s="24"/>
      <c r="B18" s="22"/>
      <c r="C18" s="24"/>
      <c r="D18" s="22"/>
      <c r="E18" s="29"/>
      <c r="F18" s="29"/>
      <c r="G18" s="29"/>
      <c r="H18" s="29"/>
    </row>
    <row r="19" ht="19.2" customHeight="1">
      <c r="A19" t="s" s="26">
        <v>277</v>
      </c>
      <c r="B19" s="41"/>
      <c r="C19" t="s" s="75">
        <v>278</v>
      </c>
      <c r="D19" s="48"/>
      <c r="E19" s="29"/>
      <c r="F19" s="29"/>
      <c r="G19" s="29"/>
      <c r="H19" s="29"/>
    </row>
    <row r="20" ht="19.2" customHeight="1">
      <c r="A20" t="s" s="26">
        <v>279</v>
      </c>
      <c r="B20" s="41"/>
      <c r="C20" t="str" s="44" cm="1">
        <f t="array" ref="C20">_xlfn.XLOOKUP(C19,'Stammdaten_Artikel'!$A$5:$A$24,'Stammdaten_Artikel'!$B$5:$B$24,"Artikel nicht im Stamm gefunden")</f>
        <v>Artikel nicht im Stamm gefunden</v>
      </c>
      <c r="D20" s="48"/>
      <c r="E20" s="29"/>
      <c r="F20" s="29"/>
      <c r="G20" s="29"/>
      <c r="H20" s="29"/>
    </row>
    <row r="21" ht="17.8" customHeight="1">
      <c r="A21" s="49"/>
      <c r="B21" s="22"/>
      <c r="C21" s="49"/>
      <c r="D21" s="22"/>
      <c r="E21" s="29"/>
      <c r="F21" s="29"/>
      <c r="G21" s="29"/>
      <c r="H21" s="29"/>
    </row>
    <row r="22" ht="17.8" customHeight="1">
      <c r="A22" s="22"/>
      <c r="B22" s="22"/>
      <c r="C22" s="22"/>
      <c r="D22" s="22"/>
      <c r="E22" s="29"/>
      <c r="F22" s="29"/>
      <c r="G22" s="29"/>
      <c r="H22" s="29"/>
    </row>
    <row r="23" ht="21.8" customHeight="1">
      <c r="A23" t="s" s="40">
        <v>281</v>
      </c>
      <c r="B23" s="22"/>
      <c r="C23" s="22"/>
      <c r="D23" s="22"/>
      <c r="E23" s="29"/>
      <c r="F23" s="29"/>
      <c r="G23" s="29"/>
      <c r="H23" s="29"/>
    </row>
    <row r="24" ht="31.3" customHeight="1">
      <c r="A24" t="s" s="23">
        <v>282</v>
      </c>
      <c r="B24" s="10"/>
      <c r="C24" s="10"/>
      <c r="D24" s="10"/>
      <c r="E24" s="10"/>
      <c r="F24" s="10"/>
      <c r="G24" s="10"/>
      <c r="H24" s="10"/>
    </row>
    <row r="25" ht="17.8" customHeight="1">
      <c r="A25" s="24"/>
      <c r="B25" s="22"/>
      <c r="C25" s="24"/>
      <c r="D25" s="22"/>
      <c r="E25" s="29"/>
      <c r="F25" s="29"/>
      <c r="G25" s="29"/>
      <c r="H25" s="29"/>
    </row>
    <row r="26" ht="19.2" customHeight="1">
      <c r="A26" t="s" s="26">
        <v>283</v>
      </c>
      <c r="B26" s="41"/>
      <c r="C26" t="s" s="75">
        <v>39</v>
      </c>
      <c r="D26" s="48"/>
      <c r="E26" s="29"/>
      <c r="F26" s="29"/>
      <c r="G26" s="29"/>
      <c r="H26" s="29"/>
    </row>
    <row r="27" ht="19.2" customHeight="1">
      <c r="A27" t="s" s="26">
        <v>284</v>
      </c>
      <c r="B27" s="41"/>
      <c r="C27" t="str" s="44" cm="1">
        <f t="array" ref="C27">_xlfn.XLOOKUP(C26,'Bestellungen'!$B$5:$B$44,'Bestellungen'!$F$5:$F$44,"keine Bestellung gefunden",0,-1)</f>
        <v>Offen</v>
      </c>
      <c r="D27" s="48"/>
      <c r="E27" s="29"/>
      <c r="F27" s="29"/>
      <c r="G27" s="29"/>
      <c r="H27" s="29"/>
    </row>
    <row r="28" ht="17.8" customHeight="1">
      <c r="A28" s="49"/>
      <c r="B28" s="22"/>
      <c r="C28" s="49"/>
      <c r="D28" s="22"/>
      <c r="E28" s="29"/>
      <c r="F28" s="29"/>
      <c r="G28" s="29"/>
      <c r="H28" s="29"/>
    </row>
    <row r="29" ht="17.8" customHeight="1">
      <c r="A29" s="24"/>
      <c r="B29" s="22"/>
      <c r="C29" s="24"/>
      <c r="D29" s="22"/>
      <c r="E29" s="29"/>
      <c r="F29" s="29"/>
      <c r="G29" s="29"/>
      <c r="H29" s="29"/>
    </row>
    <row r="30" ht="19.2" customHeight="1">
      <c r="A30" t="s" s="26">
        <v>283</v>
      </c>
      <c r="B30" s="41"/>
      <c r="C30" t="s" s="75">
        <v>57</v>
      </c>
      <c r="D30" s="48"/>
      <c r="E30" s="29"/>
      <c r="F30" s="29"/>
      <c r="G30" s="29"/>
      <c r="H30" s="29"/>
    </row>
    <row r="31" ht="19.2" customHeight="1">
      <c r="A31" t="s" s="26">
        <v>286</v>
      </c>
      <c r="B31" s="41"/>
      <c r="C31" t="s" s="77">
        <v>287</v>
      </c>
      <c r="D31" s="48"/>
      <c r="E31" s="29"/>
      <c r="F31" s="29"/>
      <c r="G31" s="29"/>
      <c r="H31" s="29"/>
    </row>
    <row r="32" ht="19.2" customHeight="1">
      <c r="A32" s="79"/>
      <c r="B32" s="41"/>
      <c r="C32" s="45"/>
      <c r="D32" s="48"/>
      <c r="E32" s="29"/>
      <c r="F32" s="29"/>
      <c r="G32" s="29"/>
      <c r="H32" s="29"/>
    </row>
    <row r="33" ht="18.5" customHeight="1">
      <c r="A33" s="79"/>
      <c r="B33" s="41"/>
      <c r="C33" s="45"/>
      <c r="D33" s="48"/>
      <c r="E33" s="29"/>
      <c r="F33" s="29"/>
      <c r="G33" s="29"/>
      <c r="H33" s="29"/>
    </row>
    <row r="34" ht="20.45" customHeight="1">
      <c r="A34" t="s" s="80">
        <v>288</v>
      </c>
      <c r="B34" s="41"/>
      <c r="C34" s="45"/>
      <c r="D34" s="48"/>
      <c r="E34" s="29"/>
      <c r="F34" s="29"/>
      <c r="G34" s="29"/>
      <c r="H34" s="29"/>
    </row>
    <row r="35" ht="18.5" customHeight="1">
      <c r="A35" t="s" s="81">
        <v>289</v>
      </c>
      <c r="B35" s="41"/>
      <c r="C35" s="45"/>
      <c r="D35" s="48"/>
      <c r="E35" s="29"/>
      <c r="F35" s="29"/>
      <c r="G35" s="29"/>
      <c r="H35" s="29"/>
    </row>
    <row r="36" ht="99.75" customHeight="1">
      <c r="A36" t="s" s="83">
        <v>290</v>
      </c>
      <c r="B36" s="41"/>
      <c r="C36" s="45"/>
      <c r="D36" s="48"/>
      <c r="E36" s="29"/>
      <c r="F36" s="29"/>
      <c r="G36" s="29"/>
      <c r="H36" s="29"/>
    </row>
    <row r="37" ht="22" customHeight="1">
      <c r="A37" s="84"/>
      <c r="B37" s="41"/>
      <c r="C37" s="45"/>
      <c r="D37" s="48"/>
      <c r="E37" s="29"/>
      <c r="F37" s="29"/>
      <c r="G37" s="29"/>
      <c r="H37" s="29"/>
    </row>
    <row r="38" ht="22" customHeight="1">
      <c r="A38" s="84"/>
      <c r="B38" s="41"/>
      <c r="C38" s="45"/>
      <c r="D38" s="48"/>
      <c r="E38" s="29"/>
      <c r="F38" s="29"/>
      <c r="G38" s="29"/>
      <c r="H38" s="29"/>
    </row>
  </sheetData>
  <mergeCells count="4">
    <mergeCell ref="A2:H3"/>
    <mergeCell ref="A6:H6"/>
    <mergeCell ref="A17:H17"/>
    <mergeCell ref="A24:H2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I55"/>
  <sheetViews>
    <sheetView workbookViewId="0" showGridLines="0" defaultGridColor="1"/>
  </sheetViews>
  <sheetFormatPr defaultColWidth="8.66667" defaultRowHeight="15" customHeight="1" outlineLevelRow="0" outlineLevelCol="0"/>
  <cols>
    <col min="1" max="1" width="16" style="85" customWidth="1"/>
    <col min="2" max="2" width="12" style="85" customWidth="1"/>
    <col min="3" max="3" width="22" style="85" customWidth="1"/>
    <col min="4" max="4" width="30" style="85" customWidth="1"/>
    <col min="5" max="5" width="14" style="85" customWidth="1"/>
    <col min="6" max="6" width="22" style="85" customWidth="1"/>
    <col min="7" max="7" width="16" style="85" customWidth="1"/>
    <col min="8" max="9" width="4" style="85" customWidth="1"/>
    <col min="10" max="16384" width="8.67188" style="85" customWidth="1"/>
  </cols>
  <sheetData>
    <row r="1" ht="18.5" customHeight="1">
      <c r="A1" t="s" s="7">
        <v>291</v>
      </c>
      <c r="B1" s="22"/>
      <c r="C1" s="22"/>
      <c r="D1" s="22"/>
      <c r="E1" s="22"/>
      <c r="F1" s="22"/>
      <c r="G1" s="22"/>
      <c r="H1" s="22"/>
      <c r="I1" s="22"/>
    </row>
    <row r="2" ht="15" customHeight="1">
      <c r="A2" t="s" s="23">
        <v>292</v>
      </c>
      <c r="B2" s="10"/>
      <c r="C2" s="10"/>
      <c r="D2" s="10"/>
      <c r="E2" s="10"/>
      <c r="F2" s="10"/>
      <c r="G2" s="10"/>
      <c r="H2" s="10"/>
      <c r="I2" s="10"/>
    </row>
    <row r="3" ht="19" customHeight="1">
      <c r="A3" s="10"/>
      <c r="B3" s="10"/>
      <c r="C3" s="10"/>
      <c r="D3" s="10"/>
      <c r="E3" s="10"/>
      <c r="F3" s="10"/>
      <c r="G3" s="10"/>
      <c r="H3" s="10"/>
      <c r="I3" s="10"/>
    </row>
    <row r="4" ht="18.5" customHeight="1">
      <c r="A4" s="22"/>
      <c r="B4" s="22"/>
      <c r="C4" s="22"/>
      <c r="D4" s="22"/>
      <c r="E4" s="22"/>
      <c r="F4" s="22"/>
      <c r="G4" s="22"/>
      <c r="H4" s="22"/>
      <c r="I4" s="22"/>
    </row>
    <row r="5" ht="18.5" customHeight="1">
      <c r="A5" t="s" s="40">
        <v>293</v>
      </c>
      <c r="B5" s="22"/>
      <c r="C5" s="22"/>
      <c r="D5" s="22"/>
      <c r="E5" s="22"/>
      <c r="F5" s="22"/>
      <c r="G5" s="22"/>
      <c r="H5" s="22"/>
      <c r="I5" s="22"/>
    </row>
    <row r="6" ht="15" customHeight="1">
      <c r="A6" t="s" s="23">
        <v>294</v>
      </c>
      <c r="B6" s="10"/>
      <c r="C6" s="10"/>
      <c r="D6" s="10"/>
      <c r="E6" s="10"/>
      <c r="F6" s="10"/>
      <c r="G6" s="10"/>
      <c r="H6" s="10"/>
      <c r="I6" s="10"/>
    </row>
    <row r="7" ht="18.5" customHeight="1">
      <c r="A7" s="22"/>
      <c r="B7" s="22"/>
      <c r="C7" t="s" s="86">
        <v>295</v>
      </c>
      <c r="D7" s="22"/>
      <c r="E7" s="22"/>
      <c r="F7" t="s" s="86">
        <v>296</v>
      </c>
      <c r="G7" s="22"/>
      <c r="H7" s="22"/>
      <c r="I7" s="22"/>
    </row>
    <row r="8" ht="18.5" customHeight="1">
      <c r="A8" s="22"/>
      <c r="B8" s="56"/>
      <c r="C8" s="87"/>
      <c r="D8" s="48"/>
      <c r="E8" s="56"/>
      <c r="F8" s="87"/>
      <c r="G8" s="48"/>
      <c r="H8" s="22"/>
      <c r="I8" s="22"/>
    </row>
    <row r="9" ht="18.5" customHeight="1">
      <c r="A9" s="22"/>
      <c r="B9" s="22"/>
      <c r="C9" s="49"/>
      <c r="D9" s="22"/>
      <c r="E9" s="22"/>
      <c r="F9" s="49"/>
      <c r="G9" s="22"/>
      <c r="H9" s="22"/>
      <c r="I9" s="22"/>
    </row>
    <row r="10" ht="18.5" customHeight="1">
      <c r="A10" s="22"/>
      <c r="B10" s="22"/>
      <c r="C10" s="22"/>
      <c r="D10" s="22"/>
      <c r="E10" s="22"/>
      <c r="F10" s="22"/>
      <c r="G10" s="22"/>
      <c r="H10" s="22"/>
      <c r="I10" s="22"/>
    </row>
    <row r="11" ht="18.5" customHeight="1">
      <c r="A11" s="22"/>
      <c r="B11" s="22"/>
      <c r="C11" s="22"/>
      <c r="D11" s="22"/>
      <c r="E11" s="22"/>
      <c r="F11" s="22"/>
      <c r="G11" s="22"/>
      <c r="H11" s="22"/>
      <c r="I11" s="22"/>
    </row>
    <row r="12" ht="18.5" customHeight="1">
      <c r="A12" s="22"/>
      <c r="B12" s="22"/>
      <c r="C12" s="22"/>
      <c r="D12" s="22"/>
      <c r="E12" s="22"/>
      <c r="F12" s="22"/>
      <c r="G12" s="22"/>
      <c r="H12" s="22"/>
      <c r="I12" s="22"/>
    </row>
    <row r="13" ht="18.5" customHeight="1">
      <c r="A13" s="22"/>
      <c r="B13" s="22"/>
      <c r="C13" s="22"/>
      <c r="D13" s="22"/>
      <c r="E13" s="22"/>
      <c r="F13" s="22"/>
      <c r="G13" s="22"/>
      <c r="H13" s="22"/>
      <c r="I13" s="22"/>
    </row>
    <row r="14" ht="18.5" customHeight="1">
      <c r="A14" s="22"/>
      <c r="B14" s="22"/>
      <c r="C14" s="22"/>
      <c r="D14" s="22"/>
      <c r="E14" s="22"/>
      <c r="F14" s="22"/>
      <c r="G14" s="22"/>
      <c r="H14" s="22"/>
      <c r="I14" s="22"/>
    </row>
    <row r="15" ht="18.5" customHeight="1">
      <c r="A15" s="22"/>
      <c r="B15" s="22"/>
      <c r="C15" s="22"/>
      <c r="D15" s="22"/>
      <c r="E15" s="22"/>
      <c r="F15" s="22"/>
      <c r="G15" s="22"/>
      <c r="H15" s="22"/>
      <c r="I15" s="22"/>
    </row>
    <row r="16" ht="18.5" customHeight="1">
      <c r="A16" s="22"/>
      <c r="B16" s="22"/>
      <c r="C16" s="22"/>
      <c r="D16" s="22"/>
      <c r="E16" s="22"/>
      <c r="F16" s="22"/>
      <c r="G16" s="22"/>
      <c r="H16" s="22"/>
      <c r="I16" s="22"/>
    </row>
    <row r="17" ht="18.5" customHeight="1">
      <c r="A17" t="s" s="40">
        <v>297</v>
      </c>
      <c r="B17" s="22"/>
      <c r="C17" s="22"/>
      <c r="D17" s="22"/>
      <c r="E17" s="22"/>
      <c r="F17" s="22"/>
      <c r="G17" s="22"/>
      <c r="H17" s="22"/>
      <c r="I17" s="22"/>
    </row>
    <row r="18" ht="18.5" customHeight="1">
      <c r="A18" t="s" s="23">
        <v>298</v>
      </c>
      <c r="B18" s="10"/>
      <c r="C18" s="10"/>
      <c r="D18" s="10"/>
      <c r="E18" s="10"/>
      <c r="F18" s="10"/>
      <c r="G18" s="10"/>
      <c r="H18" s="10"/>
      <c r="I18" s="10"/>
    </row>
    <row r="19" ht="18.5" customHeight="1">
      <c r="A19" s="24"/>
      <c r="B19" s="24"/>
      <c r="C19" s="24"/>
      <c r="D19" s="24"/>
      <c r="E19" s="24"/>
      <c r="F19" s="24"/>
      <c r="G19" s="24"/>
      <c r="H19" s="22"/>
      <c r="I19" s="22"/>
    </row>
    <row r="20" ht="18.5" customHeight="1">
      <c r="A20" t="s" s="25">
        <v>131</v>
      </c>
      <c r="B20" t="s" s="25">
        <v>33</v>
      </c>
      <c r="C20" t="s" s="25">
        <v>132</v>
      </c>
      <c r="D20" t="s" s="25">
        <v>133</v>
      </c>
      <c r="E20" t="s" s="25">
        <v>100</v>
      </c>
      <c r="F20" t="s" s="25">
        <v>134</v>
      </c>
      <c r="G20" t="s" s="25">
        <v>135</v>
      </c>
      <c r="H20" s="48"/>
      <c r="I20" s="22"/>
    </row>
    <row r="21" ht="18.5" customHeight="1">
      <c r="A21" t="str" s="88" cm="1">
        <f t="array" ref="A21:G29">_xlfn.FILTER('Bestellungen'!$A$5:$G$44,'Bestellungen'!$F$5:$F$44="Verzoegert")</f>
        <v>B002</v>
      </c>
      <c r="B21" t="str" s="52">
        <v>A004</v>
      </c>
      <c r="C21" s="89">
        <v>46096</v>
      </c>
      <c r="D21" s="90">
        <v>5</v>
      </c>
      <c r="E21" t="str" s="49">
        <v>M10</v>
      </c>
      <c r="F21" t="str" s="49">
        <v>Verzoegert</v>
      </c>
      <c r="G21" s="90">
        <v>6</v>
      </c>
      <c r="H21" s="22"/>
      <c r="I21" s="22"/>
    </row>
    <row r="22" ht="18.5" customHeight="1">
      <c r="A22" t="str" s="49">
        <v>B012</v>
      </c>
      <c r="B22" t="str" s="22">
        <v>A008</v>
      </c>
      <c r="C22" s="91">
        <v>46039</v>
      </c>
      <c r="D22" s="92">
        <v>20</v>
      </c>
      <c r="E22" t="str" s="22">
        <v>M05</v>
      </c>
      <c r="F22" t="str" s="22">
        <v>Verzoegert</v>
      </c>
      <c r="G22" s="92">
        <v>11</v>
      </c>
      <c r="H22" s="22"/>
      <c r="I22" s="22"/>
    </row>
    <row r="23" ht="18.5" customHeight="1">
      <c r="A23" t="str" s="22">
        <v>B015</v>
      </c>
      <c r="B23" t="str" s="22">
        <v>A006</v>
      </c>
      <c r="C23" s="91">
        <v>46095</v>
      </c>
      <c r="D23" s="92">
        <v>10</v>
      </c>
      <c r="E23" t="str" s="22">
        <v>M03</v>
      </c>
      <c r="F23" t="str" s="22">
        <v>Verzoegert</v>
      </c>
      <c r="G23" s="92">
        <v>12</v>
      </c>
      <c r="H23" s="22"/>
      <c r="I23" s="22"/>
    </row>
    <row r="24" ht="18.5" customHeight="1">
      <c r="A24" t="str" s="22">
        <v>B016</v>
      </c>
      <c r="B24" t="str" s="22">
        <v>A001</v>
      </c>
      <c r="C24" s="91">
        <v>46063</v>
      </c>
      <c r="D24" s="92">
        <v>10</v>
      </c>
      <c r="E24" t="str" s="22">
        <v>M02</v>
      </c>
      <c r="F24" t="str" s="22">
        <v>Verzoegert</v>
      </c>
      <c r="G24" s="92">
        <v>9</v>
      </c>
      <c r="H24" s="22"/>
      <c r="I24" s="22"/>
    </row>
    <row r="25" ht="18.5" customHeight="1">
      <c r="A25" t="str" s="22">
        <v>B019</v>
      </c>
      <c r="B25" t="str" s="22">
        <v>A011</v>
      </c>
      <c r="C25" s="91">
        <v>46054</v>
      </c>
      <c r="D25" s="92">
        <v>50</v>
      </c>
      <c r="E25" t="str" s="22">
        <v>M08</v>
      </c>
      <c r="F25" t="str" s="22">
        <v>Verzoegert</v>
      </c>
      <c r="G25" s="92">
        <v>13</v>
      </c>
      <c r="H25" s="22"/>
      <c r="I25" s="22"/>
    </row>
    <row r="26" ht="18.5" customHeight="1">
      <c r="A26" t="str" s="22">
        <v>B021</v>
      </c>
      <c r="B26" t="str" s="22">
        <v>A018</v>
      </c>
      <c r="C26" s="91">
        <v>46095</v>
      </c>
      <c r="D26" s="92">
        <v>12</v>
      </c>
      <c r="E26" t="str" s="22">
        <v>M10</v>
      </c>
      <c r="F26" t="str" s="22">
        <v>Verzoegert</v>
      </c>
      <c r="G26" s="92">
        <v>12</v>
      </c>
      <c r="H26" s="22"/>
      <c r="I26" s="22"/>
    </row>
    <row r="27" ht="18.5" customHeight="1">
      <c r="A27" t="str" s="22">
        <v>B022</v>
      </c>
      <c r="B27" t="str" s="22">
        <v>A012</v>
      </c>
      <c r="C27" s="91">
        <v>46055</v>
      </c>
      <c r="D27" s="92">
        <v>8</v>
      </c>
      <c r="E27" t="str" s="22">
        <v>M09</v>
      </c>
      <c r="F27" t="str" s="22">
        <v>Verzoegert</v>
      </c>
      <c r="G27" s="92">
        <v>7</v>
      </c>
      <c r="H27" s="22"/>
      <c r="I27" s="22"/>
    </row>
    <row r="28" ht="18.5" customHeight="1">
      <c r="A28" t="str" s="22">
        <v>B024</v>
      </c>
      <c r="B28" t="str" s="22">
        <v>A014</v>
      </c>
      <c r="C28" s="91">
        <v>46103</v>
      </c>
      <c r="D28" s="92">
        <v>5</v>
      </c>
      <c r="E28" t="str" s="22">
        <v>M07</v>
      </c>
      <c r="F28" t="str" s="22">
        <v>Verzoegert</v>
      </c>
      <c r="G28" s="92">
        <v>13</v>
      </c>
      <c r="H28" s="22"/>
      <c r="I28" s="22"/>
    </row>
    <row r="29" ht="18.5" customHeight="1">
      <c r="A29" t="str" s="22">
        <v>B036</v>
      </c>
      <c r="B29" t="str" s="22">
        <v>A010</v>
      </c>
      <c r="C29" s="91">
        <v>46078</v>
      </c>
      <c r="D29" s="92">
        <v>50</v>
      </c>
      <c r="E29" t="str" s="22">
        <v>M06</v>
      </c>
      <c r="F29" t="str" s="22">
        <v>Verzoegert</v>
      </c>
      <c r="G29" s="92">
        <v>14</v>
      </c>
      <c r="H29" s="22"/>
      <c r="I29" s="22"/>
    </row>
    <row r="30" ht="18.5" customHeight="1">
      <c r="A30" s="22"/>
      <c r="B30" s="22"/>
      <c r="C30" s="22"/>
      <c r="D30" s="22"/>
      <c r="E30" s="22"/>
      <c r="F30" s="22"/>
      <c r="G30" s="22"/>
      <c r="H30" s="22"/>
      <c r="I30" s="22"/>
    </row>
    <row r="31" ht="34.5" customHeight="1">
      <c r="A31" t="s" s="93">
        <v>317</v>
      </c>
      <c r="B31" s="10"/>
      <c r="C31" s="10"/>
      <c r="D31" s="10"/>
      <c r="E31" s="10"/>
      <c r="F31" s="10"/>
      <c r="G31" s="10"/>
      <c r="H31" s="10"/>
      <c r="I31" s="10"/>
    </row>
    <row r="32" ht="18.5" customHeight="1">
      <c r="A32" t="s" s="94">
        <v>318</v>
      </c>
      <c r="B32" s="48"/>
      <c r="C32" s="22"/>
      <c r="D32" s="22"/>
      <c r="E32" s="22"/>
      <c r="F32" s="22"/>
      <c r="G32" s="22"/>
      <c r="H32" s="22"/>
      <c r="I32" s="22"/>
    </row>
    <row r="33" ht="18.5" customHeight="1">
      <c r="A33" s="49"/>
      <c r="B33" s="22"/>
      <c r="C33" s="22"/>
      <c r="D33" s="22"/>
      <c r="E33" s="22"/>
      <c r="F33" s="22"/>
      <c r="G33" s="22"/>
      <c r="H33" s="22"/>
      <c r="I33" s="22"/>
    </row>
    <row r="34" ht="18.5" customHeight="1">
      <c r="A34" s="22"/>
      <c r="B34" s="22"/>
      <c r="C34" s="22"/>
      <c r="D34" s="22"/>
      <c r="E34" s="22"/>
      <c r="F34" s="22"/>
      <c r="G34" s="22"/>
      <c r="H34" s="22"/>
      <c r="I34" s="22"/>
    </row>
    <row r="35" ht="18.5" customHeight="1">
      <c r="A35" t="s" s="40">
        <v>319</v>
      </c>
      <c r="B35" s="22"/>
      <c r="C35" s="22"/>
      <c r="D35" s="22"/>
      <c r="E35" s="22"/>
      <c r="F35" s="22"/>
      <c r="G35" s="22"/>
      <c r="H35" s="22"/>
      <c r="I35" s="22"/>
    </row>
    <row r="36" ht="34.5" customHeight="1">
      <c r="A36" t="s" s="23">
        <v>320</v>
      </c>
      <c r="B36" s="10"/>
      <c r="C36" s="10"/>
      <c r="D36" s="10"/>
      <c r="E36" s="10"/>
      <c r="F36" s="10"/>
      <c r="G36" s="10"/>
      <c r="H36" s="10"/>
      <c r="I36" s="10"/>
    </row>
    <row r="37" ht="18.5" customHeight="1">
      <c r="A37" s="24"/>
      <c r="B37" s="24"/>
      <c r="C37" s="24"/>
      <c r="D37" s="24"/>
      <c r="E37" s="24"/>
      <c r="F37" s="24"/>
      <c r="G37" s="24"/>
      <c r="H37" s="22"/>
      <c r="I37" s="22"/>
    </row>
    <row r="38" ht="18.5" customHeight="1">
      <c r="A38" t="s" s="25">
        <v>131</v>
      </c>
      <c r="B38" t="s" s="25">
        <v>33</v>
      </c>
      <c r="C38" t="s" s="25">
        <v>132</v>
      </c>
      <c r="D38" t="s" s="25">
        <v>133</v>
      </c>
      <c r="E38" t="s" s="25">
        <v>100</v>
      </c>
      <c r="F38" t="s" s="25">
        <v>134</v>
      </c>
      <c r="G38" t="s" s="25">
        <v>135</v>
      </c>
      <c r="H38" s="48"/>
      <c r="I38" s="22"/>
    </row>
    <row r="39" ht="18.5" customHeight="1">
      <c r="A39" t="str" s="88" cm="1">
        <f t="array" ref="A39:G47">_xlfn.SORT(_xlfn.FILTER('Bestellungen'!$A$5:$G$44,'Bestellungen'!$F$5:$F$44="Verzoegert"),7,-1)</f>
        <v>B036</v>
      </c>
      <c r="B39" t="str" s="52">
        <v>A010</v>
      </c>
      <c r="C39" s="89">
        <v>46078</v>
      </c>
      <c r="D39" s="90">
        <v>50</v>
      </c>
      <c r="E39" t="str" s="49">
        <v>M06</v>
      </c>
      <c r="F39" t="str" s="49">
        <v>Verzoegert</v>
      </c>
      <c r="G39" s="90">
        <v>14</v>
      </c>
      <c r="H39" s="22"/>
      <c r="I39" s="22"/>
    </row>
    <row r="40" ht="18.5" customHeight="1">
      <c r="A40" t="str" s="49">
        <v>B019</v>
      </c>
      <c r="B40" t="str" s="22">
        <v>A011</v>
      </c>
      <c r="C40" s="91">
        <v>46054</v>
      </c>
      <c r="D40" s="92">
        <v>50</v>
      </c>
      <c r="E40" t="str" s="22">
        <v>M08</v>
      </c>
      <c r="F40" t="str" s="22">
        <v>Verzoegert</v>
      </c>
      <c r="G40" s="92">
        <v>13</v>
      </c>
      <c r="H40" s="22"/>
      <c r="I40" s="22"/>
    </row>
    <row r="41" ht="18.5" customHeight="1">
      <c r="A41" t="str" s="22">
        <v>B024</v>
      </c>
      <c r="B41" t="str" s="22">
        <v>A014</v>
      </c>
      <c r="C41" s="91">
        <v>46103</v>
      </c>
      <c r="D41" s="92">
        <v>5</v>
      </c>
      <c r="E41" t="str" s="22">
        <v>M07</v>
      </c>
      <c r="F41" t="str" s="22">
        <v>Verzoegert</v>
      </c>
      <c r="G41" s="92">
        <v>13</v>
      </c>
      <c r="H41" s="22"/>
      <c r="I41" s="22"/>
    </row>
    <row r="42" ht="18.5" customHeight="1">
      <c r="A42" t="str" s="22">
        <v>B015</v>
      </c>
      <c r="B42" t="str" s="22">
        <v>A006</v>
      </c>
      <c r="C42" s="91">
        <v>46095</v>
      </c>
      <c r="D42" s="92">
        <v>10</v>
      </c>
      <c r="E42" t="str" s="22">
        <v>M03</v>
      </c>
      <c r="F42" t="str" s="22">
        <v>Verzoegert</v>
      </c>
      <c r="G42" s="92">
        <v>12</v>
      </c>
      <c r="H42" s="22"/>
      <c r="I42" s="22"/>
    </row>
    <row r="43" ht="18.5" customHeight="1">
      <c r="A43" t="str" s="22">
        <v>B021</v>
      </c>
      <c r="B43" t="str" s="22">
        <v>A018</v>
      </c>
      <c r="C43" s="91">
        <v>46095</v>
      </c>
      <c r="D43" s="92">
        <v>12</v>
      </c>
      <c r="E43" t="str" s="22">
        <v>M10</v>
      </c>
      <c r="F43" t="str" s="22">
        <v>Verzoegert</v>
      </c>
      <c r="G43" s="92">
        <v>12</v>
      </c>
      <c r="H43" s="22"/>
      <c r="I43" s="22"/>
    </row>
    <row r="44" ht="18.5" customHeight="1">
      <c r="A44" t="str" s="22">
        <v>B012</v>
      </c>
      <c r="B44" t="str" s="22">
        <v>A008</v>
      </c>
      <c r="C44" s="91">
        <v>46039</v>
      </c>
      <c r="D44" s="92">
        <v>20</v>
      </c>
      <c r="E44" t="str" s="22">
        <v>M05</v>
      </c>
      <c r="F44" t="str" s="22">
        <v>Verzoegert</v>
      </c>
      <c r="G44" s="92">
        <v>11</v>
      </c>
      <c r="H44" s="22"/>
      <c r="I44" s="22"/>
    </row>
    <row r="45" ht="18.5" customHeight="1">
      <c r="A45" t="str" s="22">
        <v>B016</v>
      </c>
      <c r="B45" t="str" s="22">
        <v>A001</v>
      </c>
      <c r="C45" s="91">
        <v>46063</v>
      </c>
      <c r="D45" s="92">
        <v>10</v>
      </c>
      <c r="E45" t="str" s="22">
        <v>M02</v>
      </c>
      <c r="F45" t="str" s="22">
        <v>Verzoegert</v>
      </c>
      <c r="G45" s="92">
        <v>9</v>
      </c>
      <c r="H45" s="22"/>
      <c r="I45" s="22"/>
    </row>
    <row r="46" ht="18.5" customHeight="1">
      <c r="A46" t="str" s="22">
        <v>B022</v>
      </c>
      <c r="B46" t="str" s="22">
        <v>A012</v>
      </c>
      <c r="C46" s="91">
        <v>46055</v>
      </c>
      <c r="D46" s="92">
        <v>8</v>
      </c>
      <c r="E46" t="str" s="22">
        <v>M09</v>
      </c>
      <c r="F46" t="str" s="22">
        <v>Verzoegert</v>
      </c>
      <c r="G46" s="92">
        <v>7</v>
      </c>
      <c r="H46" s="22"/>
      <c r="I46" s="22"/>
    </row>
    <row r="47" ht="18.5" customHeight="1">
      <c r="A47" t="str" s="22">
        <v>B002</v>
      </c>
      <c r="B47" t="str" s="22">
        <v>A004</v>
      </c>
      <c r="C47" s="91">
        <v>46096</v>
      </c>
      <c r="D47" s="92">
        <v>5</v>
      </c>
      <c r="E47" t="str" s="22">
        <v>M10</v>
      </c>
      <c r="F47" t="str" s="22">
        <v>Verzoegert</v>
      </c>
      <c r="G47" s="92">
        <v>6</v>
      </c>
      <c r="H47" s="22"/>
      <c r="I47" s="22"/>
    </row>
    <row r="48" ht="18.5" customHeight="1">
      <c r="A48" s="22"/>
      <c r="B48" s="22"/>
      <c r="C48" s="22"/>
      <c r="D48" s="22"/>
      <c r="E48" s="22"/>
      <c r="F48" s="22"/>
      <c r="G48" s="22"/>
      <c r="H48" s="22"/>
      <c r="I48" s="22"/>
    </row>
    <row r="49" ht="18.5" customHeight="1">
      <c r="A49" s="22"/>
      <c r="B49" s="22"/>
      <c r="C49" s="22"/>
      <c r="D49" s="22"/>
      <c r="E49" s="22"/>
      <c r="F49" s="22"/>
      <c r="G49" s="22"/>
      <c r="H49" s="22"/>
      <c r="I49" s="22"/>
    </row>
    <row r="50" ht="18.5" customHeight="1">
      <c r="A50" s="22"/>
      <c r="B50" s="22"/>
      <c r="C50" s="22"/>
      <c r="D50" s="22"/>
      <c r="E50" s="22"/>
      <c r="F50" s="22"/>
      <c r="G50" s="22"/>
      <c r="H50" s="22"/>
      <c r="I50" s="22"/>
    </row>
    <row r="51" ht="18.5" customHeight="1">
      <c r="A51" t="s" s="40">
        <v>321</v>
      </c>
      <c r="B51" s="22"/>
      <c r="C51" s="22"/>
      <c r="D51" s="22"/>
      <c r="E51" s="22"/>
      <c r="F51" s="22"/>
      <c r="G51" s="22"/>
      <c r="H51" s="22"/>
      <c r="I51" s="22"/>
    </row>
    <row r="52" ht="34.5" customHeight="1">
      <c r="A52" t="s" s="23">
        <v>322</v>
      </c>
      <c r="B52" s="10"/>
      <c r="C52" s="10"/>
      <c r="D52" s="10"/>
      <c r="E52" s="10"/>
      <c r="F52" s="10"/>
      <c r="G52" s="10"/>
      <c r="H52" s="10"/>
      <c r="I52" s="10"/>
    </row>
    <row r="53" ht="18.5" customHeight="1">
      <c r="A53" s="22"/>
      <c r="B53" s="22"/>
      <c r="C53" s="22"/>
      <c r="D53" s="22"/>
      <c r="E53" s="22"/>
      <c r="F53" s="22"/>
      <c r="G53" s="22"/>
      <c r="H53" s="22"/>
      <c r="I53" s="22"/>
    </row>
    <row r="54" ht="18.5" customHeight="1">
      <c r="A54" t="s" s="86">
        <v>323</v>
      </c>
      <c r="B54" s="22"/>
      <c r="C54" s="22"/>
      <c r="D54" t="s" s="86">
        <v>324</v>
      </c>
      <c r="E54" s="22"/>
      <c r="F54" s="22"/>
      <c r="G54" s="22"/>
      <c r="H54" s="22"/>
      <c r="I54" s="22"/>
    </row>
    <row r="55" ht="18.5" customHeight="1">
      <c r="A55" s="95"/>
      <c r="B55" s="48"/>
      <c r="C55" s="56"/>
      <c r="D55" s="87"/>
      <c r="E55" s="48"/>
      <c r="F55" s="22"/>
      <c r="G55" s="22"/>
      <c r="H55" s="22"/>
      <c r="I55" s="22"/>
    </row>
  </sheetData>
  <mergeCells count="6">
    <mergeCell ref="A2:I3"/>
    <mergeCell ref="A6:I6"/>
    <mergeCell ref="A18:I18"/>
    <mergeCell ref="A31:I31"/>
    <mergeCell ref="A36:I36"/>
    <mergeCell ref="A52:I5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66667" defaultRowHeight="15" customHeight="1" outlineLevelRow="0" outlineLevelCol="0"/>
  <cols>
    <col min="1" max="1" width="7.07031" style="96" customWidth="1"/>
    <col min="2" max="2" width="30.5781" style="96" customWidth="1"/>
    <col min="3" max="3" width="28.2188" style="96" customWidth="1"/>
    <col min="4" max="4" width="44.6562" style="96" customWidth="1"/>
    <col min="5" max="5" width="82.2734" style="96" customWidth="1"/>
    <col min="6" max="16384" width="8.67188" style="96" customWidth="1"/>
  </cols>
  <sheetData>
    <row r="1" ht="25.85" customHeight="1">
      <c r="A1" t="s" s="7">
        <v>325</v>
      </c>
      <c r="B1" s="22"/>
      <c r="C1" s="22"/>
      <c r="D1" s="22"/>
      <c r="E1" s="22"/>
    </row>
    <row r="2" ht="20.95" customHeight="1">
      <c r="A2" t="s" s="23">
        <v>326</v>
      </c>
      <c r="B2" s="10"/>
      <c r="C2" s="10"/>
      <c r="D2" s="10"/>
      <c r="E2" s="10"/>
    </row>
    <row r="3" ht="25.85" customHeight="1">
      <c r="A3" s="24"/>
      <c r="B3" s="24"/>
      <c r="C3" s="24"/>
      <c r="D3" s="24"/>
      <c r="E3" s="24"/>
    </row>
    <row r="4" ht="25.85" customHeight="1">
      <c r="A4" t="s" s="25">
        <v>327</v>
      </c>
      <c r="B4" t="s" s="25">
        <v>328</v>
      </c>
      <c r="C4" t="s" s="25">
        <v>329</v>
      </c>
      <c r="D4" t="s" s="25">
        <v>330</v>
      </c>
      <c r="E4" t="s" s="25">
        <v>331</v>
      </c>
    </row>
    <row r="5" ht="41.9" customHeight="1">
      <c r="A5" s="43">
        <v>1</v>
      </c>
      <c r="B5" t="s" s="26">
        <v>15</v>
      </c>
      <c r="C5" t="s" s="26">
        <v>332</v>
      </c>
      <c r="D5" t="s" s="97">
        <v>333</v>
      </c>
      <c r="E5" t="s" s="98">
        <v>334</v>
      </c>
    </row>
    <row r="6" ht="41.9" customHeight="1">
      <c r="A6" s="43">
        <v>2</v>
      </c>
      <c r="B6" t="s" s="26">
        <v>15</v>
      </c>
      <c r="C6" t="s" s="26">
        <v>335</v>
      </c>
      <c r="D6" t="s" s="97">
        <v>336</v>
      </c>
      <c r="E6" t="s" s="98">
        <v>337</v>
      </c>
    </row>
    <row r="7" ht="41.9" customHeight="1">
      <c r="A7" s="43">
        <v>3</v>
      </c>
      <c r="B7" t="s" s="26">
        <v>15</v>
      </c>
      <c r="C7" t="s" s="26">
        <v>338</v>
      </c>
      <c r="D7" t="s" s="97">
        <v>339</v>
      </c>
      <c r="E7" t="s" s="98">
        <v>340</v>
      </c>
    </row>
    <row r="8" ht="41.9" customHeight="1">
      <c r="A8" s="43">
        <v>4</v>
      </c>
      <c r="B8" t="s" s="26">
        <v>15</v>
      </c>
      <c r="C8" t="s" s="26">
        <v>341</v>
      </c>
      <c r="D8" t="s" s="97">
        <v>342</v>
      </c>
      <c r="E8" t="s" s="98">
        <v>343</v>
      </c>
    </row>
    <row r="9" ht="41.9" customHeight="1">
      <c r="A9" s="43">
        <v>5</v>
      </c>
      <c r="B9" t="s" s="26">
        <v>17</v>
      </c>
      <c r="C9" t="s" s="26">
        <v>332</v>
      </c>
      <c r="D9" t="s" s="97">
        <v>344</v>
      </c>
      <c r="E9" t="s" s="98">
        <v>345</v>
      </c>
    </row>
    <row r="10" ht="41.9" customHeight="1">
      <c r="A10" s="43">
        <v>6</v>
      </c>
      <c r="B10" t="s" s="26">
        <v>17</v>
      </c>
      <c r="C10" t="s" s="26">
        <v>346</v>
      </c>
      <c r="D10" t="s" s="97">
        <v>347</v>
      </c>
      <c r="E10" t="s" s="98">
        <v>348</v>
      </c>
    </row>
    <row r="11" ht="41.9" customHeight="1">
      <c r="A11" s="43">
        <v>7</v>
      </c>
      <c r="B11" t="s" s="26">
        <v>19</v>
      </c>
      <c r="C11" t="s" s="26">
        <v>349</v>
      </c>
      <c r="D11" t="s" s="97">
        <v>350</v>
      </c>
      <c r="E11" t="s" s="98">
        <v>351</v>
      </c>
    </row>
    <row r="12" ht="41.9" customHeight="1">
      <c r="A12" s="43">
        <v>8</v>
      </c>
      <c r="B12" t="s" s="26">
        <v>19</v>
      </c>
      <c r="C12" t="s" s="26">
        <v>352</v>
      </c>
      <c r="D12" t="s" s="97">
        <v>353</v>
      </c>
      <c r="E12" t="s" s="98">
        <v>354</v>
      </c>
    </row>
    <row r="13" ht="41.9" customHeight="1">
      <c r="A13" s="43">
        <v>9</v>
      </c>
      <c r="B13" t="s" s="26">
        <v>21</v>
      </c>
      <c r="C13" t="s" s="26">
        <v>355</v>
      </c>
      <c r="D13" t="s" s="97">
        <v>356</v>
      </c>
      <c r="E13" t="s" s="98">
        <v>357</v>
      </c>
    </row>
  </sheetData>
  <mergeCells count="1">
    <mergeCell ref="A2:E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