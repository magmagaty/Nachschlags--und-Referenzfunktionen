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Stammdaten_Artikel" sheetId="2" r:id="rId6"/>
    <sheet name="Stammdaten_Mitarbeiter" sheetId="3" r:id="rId7"/>
    <sheet name="Bestellungen" sheetId="4" r:id="rId8"/>
    <sheet name="01_SVERWEIS_WVERWEIS" sheetId="5" r:id="rId9"/>
    <sheet name="02_INDEX_VERGLEICH" sheetId="6" r:id="rId10"/>
    <sheet name="03_XVERWEIS_XVERGLEICH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<sst xmlns="http://schemas.openxmlformats.org/spreadsheetml/2006/main" uniqueCount="232">
  <si>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</si>
  <si>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</si>
  <si>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</si>
  <si>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</si>
  <si>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Stammdaten_Artikel</t>
  </si>
  <si>
    <t>Tabelle 1</t>
  </si>
  <si>
    <t>Stammdaten: Artikel</t>
  </si>
  <si>
    <t>Artikel-ID</t>
  </si>
  <si>
    <t>Artikelname</t>
  </si>
  <si>
    <t>Kategorie</t>
  </si>
  <si>
    <t>Lieferant</t>
  </si>
  <si>
    <t>Einkaufspreis (EUR)</t>
  </si>
  <si>
    <t>Lagerort</t>
  </si>
  <si>
    <t>A001</t>
  </si>
  <si>
    <t>Laptop 14 Zoll</t>
  </si>
  <si>
    <t>Elektronik</t>
  </si>
  <si>
    <t>TechSupply GmbH</t>
  </si>
  <si>
    <t>Lager A1</t>
  </si>
  <si>
    <t>A002</t>
  </si>
  <si>
    <t>Monitor 24 Zoll</t>
  </si>
  <si>
    <t>A003</t>
  </si>
  <si>
    <t>Tastatur kabellos</t>
  </si>
  <si>
    <t>A004</t>
  </si>
  <si>
    <t>Maus optisch</t>
  </si>
  <si>
    <t>A005</t>
  </si>
  <si>
    <t>USB-C Kabel</t>
  </si>
  <si>
    <t>IT-Zubehoer</t>
  </si>
  <si>
    <t>KabelPro AG</t>
  </si>
  <si>
    <t>Lager A2</t>
  </si>
  <si>
    <t>A006</t>
  </si>
  <si>
    <t>Headset</t>
  </si>
  <si>
    <t>A007</t>
  </si>
  <si>
    <t>Druckerpapier A4</t>
  </si>
  <si>
    <t>Bueromaterial</t>
  </si>
  <si>
    <t>PaperPlus KG</t>
  </si>
  <si>
    <t>Lager B1</t>
  </si>
  <si>
    <t>A008</t>
  </si>
  <si>
    <t>Kugelschreiber</t>
  </si>
  <si>
    <t>A009</t>
  </si>
  <si>
    <t>Ordner A4</t>
  </si>
  <si>
    <t>A010</t>
  </si>
  <si>
    <t>Aktenvernichter</t>
  </si>
  <si>
    <t>OfficeTech GmbH</t>
  </si>
  <si>
    <t>Lager B2</t>
  </si>
  <si>
    <t>A011</t>
  </si>
  <si>
    <t>Bohrmaschine</t>
  </si>
  <si>
    <t>Werkzeug</t>
  </si>
  <si>
    <t>WerkzeugWelt AG</t>
  </si>
  <si>
    <t>Lager C1</t>
  </si>
  <si>
    <t>A012</t>
  </si>
  <si>
    <t>Schraubendreher-Set</t>
  </si>
  <si>
    <t>A013</t>
  </si>
  <si>
    <t>Schutzbrille</t>
  </si>
  <si>
    <t>SafetyFirst GmbH</t>
  </si>
  <si>
    <t>A014</t>
  </si>
  <si>
    <t>Arbeitshandschuhe</t>
  </si>
  <si>
    <t>A015</t>
  </si>
  <si>
    <t>Kartonbox klein</t>
  </si>
  <si>
    <t>Verpackung</t>
  </si>
  <si>
    <t>PackIt GmbH</t>
  </si>
  <si>
    <t>Lager D1</t>
  </si>
  <si>
    <t>A016</t>
  </si>
  <si>
    <t>Kartonbox gross</t>
  </si>
  <si>
    <t>A017</t>
  </si>
  <si>
    <t>Klebeband</t>
  </si>
  <si>
    <t>A018</t>
  </si>
  <si>
    <t>Luftpolsterfolie</t>
  </si>
  <si>
    <t>Lager D2</t>
  </si>
  <si>
    <t>A019</t>
  </si>
  <si>
    <t>Docking Station</t>
  </si>
  <si>
    <t>A020</t>
  </si>
  <si>
    <t>Webcam</t>
  </si>
  <si>
    <t>Stammdaten_Mitarbeiter</t>
  </si>
  <si>
    <t>Stammdaten: Mitarbeiter</t>
  </si>
  <si>
    <t>Mitarbeiter-ID</t>
  </si>
  <si>
    <t>Name</t>
  </si>
  <si>
    <t>Abteilung</t>
  </si>
  <si>
    <t>Stundensatz (EUR)</t>
  </si>
  <si>
    <t>M01</t>
  </si>
  <si>
    <t>Anna Berger</t>
  </si>
  <si>
    <t>Einkauf</t>
  </si>
  <si>
    <t>M02</t>
  </si>
  <si>
    <t>Jonas Wolf</t>
  </si>
  <si>
    <t>M03</t>
  </si>
  <si>
    <t>Lea Hofmann</t>
  </si>
  <si>
    <t>Logistik</t>
  </si>
  <si>
    <t>M04</t>
  </si>
  <si>
    <t>Tim Schreiber</t>
  </si>
  <si>
    <t>M05</t>
  </si>
  <si>
    <t>Mara Vogel</t>
  </si>
  <si>
    <t>Lager</t>
  </si>
  <si>
    <t>M06</t>
  </si>
  <si>
    <t>Felix Krause</t>
  </si>
  <si>
    <t>M07</t>
  </si>
  <si>
    <t>Nina Albrecht</t>
  </si>
  <si>
    <t>Qualitaetssicherung</t>
  </si>
  <si>
    <t>M08</t>
  </si>
  <si>
    <t>Paul Lehmann</t>
  </si>
  <si>
    <t>M09</t>
  </si>
  <si>
    <t>Sara Engel</t>
  </si>
  <si>
    <t>Versand</t>
  </si>
  <si>
    <t>M10</t>
  </si>
  <si>
    <t>David Kuhn</t>
  </si>
  <si>
    <t>Bestellungen</t>
  </si>
  <si>
    <t>Bewegungsdaten: Bestellungen Q1 2026</t>
  </si>
  <si>
    <t>Bestell-ID</t>
  </si>
  <si>
    <t>Bestelldatum</t>
  </si>
  <si>
    <t>Menge</t>
  </si>
  <si>
    <t>Status</t>
  </si>
  <si>
    <t>Lieferzeit_Tage</t>
  </si>
  <si>
    <t>B001</t>
  </si>
  <si>
    <t>Geliefert</t>
  </si>
  <si>
    <t>B002</t>
  </si>
  <si>
    <t>Verzoegert</t>
  </si>
  <si>
    <t>B003</t>
  </si>
  <si>
    <t>B004</t>
  </si>
  <si>
    <t>Storniert</t>
  </si>
  <si>
    <t>B005</t>
  </si>
  <si>
    <t>Offen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</si>
  <si>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</si>
  <si>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</si>
  <si>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</si>
  <si>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</si>
  <si>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</si>
  <si>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</si>
  <si>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</si>
  <si>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</si>
  <si>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</si>
  <si>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</si>
  <si>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</si>
  <si>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</si>
  <si>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</si>
  <si>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</si>
  <si>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</si>
  <si>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</si>
  <si>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</si>
  <si>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</si>
  <si>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</si>
  <si>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</si>
  <si>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</si>
  <si>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</si>
  <si>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</si>
  <si>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</si>
  <si>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</si>
  <si>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</si>
  <si>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</si>
  <si>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</si>
  <si>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</si>
  <si>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</si>
  <si>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</si>
  <si>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</si>
  <si>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</si>
  <si>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</si>
  <si>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</si>
  <si>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01_SVERWEIS_WVERWEIS</t>
  </si>
  <si>
    <t>01 | SVERWEIS und WVERWEIS</t>
  </si>
  <si>
    <t>A) SVERWEIS - exakte Uebereinstimmung (Bereich_Verweis = FALSCH)</t>
  </si>
  <si>
    <t>Artikelname (SVERWEIS)</t>
  </si>
  <si>
    <t>Kategorie (SVERWEIS)</t>
  </si>
  <si>
    <t>Lieferant (Uebung)</t>
  </si>
  <si>
    <t>Rabatt (Staffel-SVERWEIS)</t>
  </si>
  <si>
    <t>Mindestmenge</t>
  </si>
  <si>
    <t>Rabatt</t>
  </si>
  <si>
    <r>
      <rPr>
        <sz val="14"/>
        <color indexed="8"/>
        <rFont val="Arial"/>
      </rPr>
      <t>B001</t>
    </r>
  </si>
  <si>
    <r>
      <rPr>
        <sz val="14"/>
        <color indexed="8"/>
        <rFont val="Arial"/>
      </rPr>
      <t>A004</t>
    </r>
  </si>
  <si>
    <r>
      <rPr>
        <sz val="14"/>
        <color indexed="8"/>
        <rFont val="Arial"/>
      </rPr>
      <t>Maus optisch</t>
    </r>
  </si>
  <si>
    <r>
      <rPr>
        <sz val="14"/>
        <color indexed="8"/>
        <rFont val="Arial"/>
      </rPr>
      <t>Elektronik</t>
    </r>
  </si>
  <si>
    <r>
      <rPr>
        <sz val="14"/>
        <color indexed="18"/>
        <rFont val="Arial"/>
      </rPr>
      <t>TechSupply GmbH</t>
    </r>
  </si>
  <si>
    <r>
      <rPr>
        <sz val="14"/>
        <color indexed="8"/>
        <rFont val="Arial"/>
      </rPr>
      <t>B002</t>
    </r>
  </si>
  <si>
    <r>
      <rPr>
        <sz val="14"/>
        <color indexed="8"/>
        <rFont val="Arial"/>
      </rPr>
      <t>B003</t>
    </r>
  </si>
  <si>
    <r>
      <rPr>
        <sz val="14"/>
        <color indexed="8"/>
        <rFont val="Arial"/>
      </rPr>
      <t>A001</t>
    </r>
  </si>
  <si>
    <r>
      <rPr>
        <sz val="14"/>
        <color indexed="8"/>
        <rFont val="Arial"/>
      </rPr>
      <t>Laptop 14 Zoll</t>
    </r>
  </si>
  <si>
    <r>
      <rPr>
        <sz val="14"/>
        <color indexed="8"/>
        <rFont val="Arial"/>
      </rPr>
      <t>B004</t>
    </r>
  </si>
  <si>
    <r>
      <rPr>
        <sz val="14"/>
        <color indexed="8"/>
        <rFont val="Arial"/>
      </rPr>
      <t>A020</t>
    </r>
  </si>
  <si>
    <r>
      <rPr>
        <sz val="14"/>
        <color indexed="8"/>
        <rFont val="Arial"/>
      </rPr>
      <t>Webcam</t>
    </r>
  </si>
  <si>
    <r>
      <rPr>
        <sz val="14"/>
        <color indexed="8"/>
        <rFont val="Arial"/>
      </rPr>
      <t>B005</t>
    </r>
  </si>
  <si>
    <r>
      <rPr>
        <sz val="14"/>
        <color indexed="8"/>
        <rFont val="Arial"/>
      </rPr>
      <t>A018</t>
    </r>
  </si>
  <si>
    <r>
      <rPr>
        <sz val="14"/>
        <color indexed="8"/>
        <rFont val="Arial"/>
      </rPr>
      <t>Luftpolsterfolie</t>
    </r>
  </si>
  <si>
    <r>
      <rPr>
        <sz val="14"/>
        <color indexed="8"/>
        <rFont val="Arial"/>
      </rPr>
      <t>Verpackung</t>
    </r>
  </si>
  <si>
    <r>
      <rPr>
        <sz val="14"/>
        <color indexed="18"/>
        <rFont val="Arial"/>
      </rPr>
      <t>PackIt GmbH</t>
    </r>
  </si>
  <si>
    <r>
      <rPr>
        <sz val="14"/>
        <color indexed="8"/>
        <rFont val="Arial"/>
      </rPr>
      <t>B006</t>
    </r>
  </si>
  <si>
    <r>
      <rPr>
        <sz val="14"/>
        <color indexed="8"/>
        <rFont val="Arial"/>
      </rPr>
      <t>A009</t>
    </r>
  </si>
  <si>
    <r>
      <rPr>
        <sz val="14"/>
        <color indexed="8"/>
        <rFont val="Arial"/>
      </rPr>
      <t>Ordner A4</t>
    </r>
  </si>
  <si>
    <r>
      <rPr>
        <sz val="14"/>
        <color indexed="8"/>
        <rFont val="Arial"/>
      </rPr>
      <t>Bueromaterial</t>
    </r>
  </si>
  <si>
    <r>
      <rPr>
        <sz val="14"/>
        <color indexed="18"/>
        <rFont val="Arial"/>
      </rPr>
      <t>PaperPlus KG</t>
    </r>
  </si>
  <si>
    <r>
      <rPr>
        <sz val="14"/>
        <color indexed="8"/>
        <rFont val="Arial"/>
      </rPr>
      <t>B007</t>
    </r>
  </si>
  <si>
    <r>
      <rPr>
        <sz val="14"/>
        <color indexed="8"/>
        <rFont val="Arial"/>
      </rPr>
      <t>A005</t>
    </r>
  </si>
  <si>
    <r>
      <rPr>
        <sz val="14"/>
        <color indexed="8"/>
        <rFont val="Arial"/>
      </rPr>
      <t>USB-C Kabel</t>
    </r>
  </si>
  <si>
    <r>
      <rPr>
        <sz val="14"/>
        <color indexed="8"/>
        <rFont val="Arial"/>
      </rPr>
      <t>IT-Zubehoer</t>
    </r>
  </si>
  <si>
    <r>
      <rPr>
        <sz val="14"/>
        <color indexed="18"/>
        <rFont val="Arial"/>
      </rPr>
      <t>KabelPro AG</t>
    </r>
  </si>
  <si>
    <r>
      <rPr>
        <sz val="14"/>
        <color indexed="8"/>
        <rFont val="Arial"/>
      </rPr>
      <t>B008</t>
    </r>
  </si>
  <si>
    <r>
      <rPr>
        <sz val="14"/>
        <color indexed="8"/>
        <rFont val="Arial"/>
      </rPr>
      <t>B009</t>
    </r>
  </si>
  <si>
    <r>
      <rPr>
        <sz val="14"/>
        <color indexed="8"/>
        <rFont val="Arial"/>
      </rPr>
      <t>A015</t>
    </r>
  </si>
  <si>
    <r>
      <rPr>
        <sz val="14"/>
        <color indexed="8"/>
        <rFont val="Arial"/>
      </rPr>
      <t>Kartonbox klein</t>
    </r>
  </si>
  <si>
    <r>
      <rPr>
        <sz val="14"/>
        <color indexed="8"/>
        <rFont val="Arial"/>
      </rPr>
      <t>B010</t>
    </r>
  </si>
  <si>
    <r>
      <rPr>
        <sz val="14"/>
        <color indexed="8"/>
        <rFont val="Arial"/>
      </rPr>
      <t>B011</t>
    </r>
  </si>
  <si>
    <r>
      <rPr>
        <sz val="14"/>
        <color indexed="8"/>
        <rFont val="Arial"/>
      </rPr>
      <t>A003</t>
    </r>
  </si>
  <si>
    <r>
      <rPr>
        <sz val="14"/>
        <color indexed="8"/>
        <rFont val="Arial"/>
      </rPr>
      <t>Tastatur kabellos</t>
    </r>
  </si>
  <si>
    <r>
      <rPr>
        <sz val="14"/>
        <color indexed="8"/>
        <rFont val="Arial"/>
      </rPr>
      <t>B012</t>
    </r>
  </si>
  <si>
    <r>
      <rPr>
        <sz val="14"/>
        <color indexed="8"/>
        <rFont val="Arial"/>
      </rPr>
      <t>A008</t>
    </r>
  </si>
  <si>
    <r>
      <rPr>
        <sz val="14"/>
        <color indexed="8"/>
        <rFont val="Arial"/>
      </rPr>
      <t>Kugelschreiber</t>
    </r>
  </si>
  <si>
    <r>
      <rPr>
        <sz val="14"/>
        <color indexed="8"/>
        <rFont val="Arial"/>
      </rPr>
      <t>B013</t>
    </r>
  </si>
  <si>
    <r>
      <rPr>
        <sz val="14"/>
        <color indexed="8"/>
        <rFont val="Arial"/>
      </rPr>
      <t>A006</t>
    </r>
  </si>
  <si>
    <r>
      <rPr>
        <sz val="14"/>
        <color indexed="8"/>
        <rFont val="Arial"/>
      </rPr>
      <t>Headset</t>
    </r>
  </si>
  <si>
    <r>
      <rPr>
        <sz val="14"/>
        <color indexed="8"/>
        <rFont val="Arial"/>
      </rPr>
      <t>B014</t>
    </r>
  </si>
  <si>
    <r>
      <rPr>
        <sz val="14"/>
        <color indexed="8"/>
        <rFont val="Arial"/>
      </rPr>
      <t>B015</t>
    </r>
  </si>
  <si>
    <r>
      <rPr>
        <sz val="14"/>
        <color indexed="18"/>
        <rFont val="Arial"/>
      </rPr>
      <t>OfficeTech GmbH</t>
    </r>
  </si>
  <si>
    <r>
      <rPr>
        <sz val="14"/>
        <color indexed="8"/>
        <rFont val="Arial"/>
      </rPr>
      <t>Werkzeug</t>
    </r>
  </si>
  <si>
    <r>
      <rPr>
        <sz val="14"/>
        <color indexed="18"/>
        <rFont val="Arial"/>
      </rPr>
      <t>WerkzeugWelt AG</t>
    </r>
  </si>
  <si>
    <r>
      <rPr>
        <sz val="14"/>
        <color indexed="18"/>
        <rFont val="Arial"/>
      </rPr>
      <t>SafetyFirst GmbH</t>
    </r>
  </si>
  <si>
    <t>02_INDEX_VERGLEICH</t>
  </si>
  <si>
    <t>02 | INDEX und VERGLEICH</t>
  </si>
  <si>
    <t>A) INDEX/VERGLEICH als SVERWEIS-Ersatz</t>
  </si>
  <si>
    <t>Artikelname (INDEX/VERGLEICH)</t>
  </si>
  <si>
    <t>Kategorie (Uebung)</t>
  </si>
  <si>
    <t>03_XVERWEIS_XVERGLEICH</t>
  </si>
  <si>
    <t>03 | XVERWEIS und XVERGLEICH</t>
  </si>
  <si>
    <t>A) XVERWEIS - Suche nach links ohne Spaltenzaehlen</t>
  </si>
  <si>
    <t>Artikelname (Eingabe):</t>
  </si>
  <si>
    <t>Gefundene Artikel-ID (XVERWEIS):</t>
  </si>
  <si>
    <r>
      <rPr>
        <sz val="14"/>
        <color indexed="8"/>
        <rFont val="Arial"/>
      </rPr>
      <t>A012</t>
    </r>
  </si>
  <si>
    <t>Uebung: Kategorie finden (XVERWEIS):</t>
  </si>
  <si>
    <t>Uebung: XVERWEIS schreiben</t>
  </si>
  <si>
    <t>B) Der Parameter wenn_nicht_gefunden</t>
  </si>
  <si>
    <t>Artikel-ID (Eingabe, existiert NICHT):</t>
  </si>
  <si>
    <t>A099</t>
  </si>
  <si>
    <t>Ergebnis mit wenn_nicht_gefunden:</t>
  </si>
  <si>
    <t>Artikel nicht im Stamm gefunden</t>
  </si>
  <si>
    <t>C) Suchmodus -1: von unten nach oben suchen</t>
  </si>
  <si>
    <t>Artikel-ID (Eingabe):</t>
  </si>
  <si>
    <t>Status der letzten Bestellung (XVERWEIS, Suchmodus -1):</t>
  </si>
  <si>
    <r>
      <rPr>
        <sz val="14"/>
        <color indexed="8"/>
        <rFont val="Arial"/>
      </rPr>
      <t>Offen</t>
    </r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</si>
</sst>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0&quot; €&quot;"/>
    <numFmt numFmtId="60" formatCode="#,##0&quot; €&quot;"/>
    <numFmt numFmtId="61" formatCode="dd&quot;.&quot;mm&quot;.&quot;yyyy"/>
  </numFmts>
  <fonts count="13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4"/>
      <color indexed="12"/>
      <name val="Arial"/>
    </font>
    <font>
      <sz val="14"/>
      <color indexed="8"/>
      <name val="Arial"/>
    </font>
    <font>
      <sz val="14"/>
      <color indexed="13"/>
      <name val="Arial"/>
    </font>
    <font>
      <sz val="11"/>
      <color indexed="8"/>
      <name val="Arial"/>
    </font>
    <font>
      <sz val="11"/>
      <color indexed="13"/>
      <name val="Arial"/>
    </font>
    <font>
      <sz val="14"/>
      <color indexed="16"/>
      <name val="Arial"/>
    </font>
    <font>
      <sz val="14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0" fontId="7" fillId="4" borderId="1" applyNumberFormat="0" applyFont="1" applyFill="1" applyBorder="1" applyAlignment="1" applyProtection="0">
      <alignment vertical="bottom"/>
    </xf>
    <xf numFmtId="0" fontId="7" fillId="4" borderId="2" applyNumberFormat="0" applyFont="1" applyFill="1" applyBorder="1" applyAlignment="1" applyProtection="0">
      <alignment vertical="bottom"/>
    </xf>
    <xf numFmtId="49" fontId="8" fillId="5" borderId="3" applyNumberFormat="1" applyFont="1" applyFill="1" applyBorder="1" applyAlignment="1" applyProtection="0">
      <alignment horizontal="center" vertical="center"/>
    </xf>
    <xf numFmtId="49" fontId="7" fillId="4" borderId="3" applyNumberFormat="1" applyFont="1" applyFill="1" applyBorder="1" applyAlignment="1" applyProtection="0">
      <alignment vertical="bottom"/>
    </xf>
    <xf numFmtId="59" fontId="7" fillId="4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4" borderId="4" applyNumberFormat="0" applyFont="1" applyFill="1" applyBorder="1" applyAlignment="1" applyProtection="0">
      <alignment vertical="bottom"/>
    </xf>
    <xf numFmtId="60" fontId="7" fillId="4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9" fillId="4" borderId="1" applyNumberFormat="0" applyFont="1" applyFill="1" applyBorder="1" applyAlignment="1" applyProtection="0">
      <alignment vertical="bottom"/>
    </xf>
    <xf numFmtId="0" fontId="9" fillId="4" borderId="2" applyNumberFormat="0" applyFont="1" applyFill="1" applyBorder="1" applyAlignment="1" applyProtection="0">
      <alignment vertical="bottom"/>
    </xf>
    <xf numFmtId="49" fontId="10" fillId="5" borderId="3" applyNumberFormat="1" applyFont="1" applyFill="1" applyBorder="1" applyAlignment="1" applyProtection="0">
      <alignment horizontal="center" vertical="center"/>
    </xf>
    <xf numFmtId="49" fontId="9" fillId="4" borderId="3" applyNumberFormat="1" applyFont="1" applyFill="1" applyBorder="1" applyAlignment="1" applyProtection="0">
      <alignment horizontal="center" vertical="bottom"/>
    </xf>
    <xf numFmtId="61" fontId="9" fillId="4" borderId="3" applyNumberFormat="1" applyFont="1" applyFill="1" applyBorder="1" applyAlignment="1" applyProtection="0">
      <alignment vertical="bottom"/>
    </xf>
    <xf numFmtId="1" fontId="9" fillId="4" borderId="3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11" fillId="4" borderId="1" applyNumberFormat="1" applyFont="1" applyFill="1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vertical="bottom"/>
    </xf>
    <xf numFmtId="0" fontId="7" fillId="4" borderId="3" applyNumberFormat="0" applyFont="1" applyFill="1" applyBorder="1" applyAlignment="1" applyProtection="0">
      <alignment horizontal="center" vertical="bottom"/>
    </xf>
    <xf numFmtId="1" fontId="7" fillId="4" borderId="3" applyNumberFormat="1" applyFont="1" applyFill="1" applyBorder="1" applyAlignment="1" applyProtection="0">
      <alignment horizontal="center" vertical="bottom"/>
    </xf>
    <xf numFmtId="0" fontId="7" fillId="6" borderId="3" applyNumberFormat="0" applyFont="1" applyFill="1" applyBorder="1" applyAlignment="1" applyProtection="0">
      <alignment horizontal="left" vertical="bottom"/>
    </xf>
    <xf numFmtId="0" fontId="12" fillId="7" borderId="3" applyNumberFormat="0" applyFont="1" applyFill="1" applyBorder="1" applyAlignment="1" applyProtection="0">
      <alignment horizontal="left" vertical="bottom"/>
    </xf>
    <xf numFmtId="9" fontId="7" fillId="6" borderId="3" applyNumberFormat="1" applyFont="1" applyFill="1" applyBorder="1" applyAlignment="1" applyProtection="0">
      <alignment horizontal="center" vertical="bottom"/>
    </xf>
    <xf numFmtId="9" fontId="7" fillId="4" borderId="3" applyNumberFormat="1" applyFont="1" applyFill="1" applyBorder="1" applyAlignment="1" applyProtection="0">
      <alignment horizontal="center" vertical="bottom"/>
    </xf>
    <xf numFmtId="0" fontId="7" fillId="4" borderId="6" applyNumberFormat="0" applyFont="1" applyFill="1" applyBorder="1" applyAlignment="1" applyProtection="0">
      <alignment vertical="bottom"/>
    </xf>
    <xf numFmtId="0" fontId="7" fillId="4" borderId="7" applyNumberFormat="0" applyFont="1" applyFill="1" applyBorder="1" applyAlignment="1" applyProtection="0">
      <alignment vertical="bottom"/>
    </xf>
    <xf numFmtId="49" fontId="7" fillId="4" borderId="3" applyNumberFormat="1" applyFont="1" applyFill="1" applyBorder="1" applyAlignment="1" applyProtection="0">
      <alignment horizontal="center" vertical="bottom"/>
    </xf>
    <xf numFmtId="0" fontId="7" fillId="4" borderId="8" applyNumberFormat="0" applyFont="1" applyFill="1" applyBorder="1" applyAlignment="1" applyProtection="0">
      <alignment vertical="bottom"/>
    </xf>
    <xf numFmtId="0" fontId="7" fillId="6" borderId="6" applyNumberFormat="0" applyFont="1" applyFill="1" applyBorder="1" applyAlignment="1" applyProtection="0">
      <alignment horizontal="left" vertical="bottom"/>
    </xf>
    <xf numFmtId="0" fontId="12" fillId="7" borderId="6" applyNumberFormat="0" applyFont="1" applyFill="1" applyBorder="1" applyAlignment="1" applyProtection="0">
      <alignment horizontal="left" vertical="bottom"/>
    </xf>
    <xf numFmtId="9" fontId="7" fillId="6" borderId="6" applyNumberFormat="1" applyFont="1" applyFill="1" applyBorder="1" applyAlignment="1" applyProtection="0">
      <alignment horizontal="center" vertical="bottom"/>
    </xf>
    <xf numFmtId="0" fontId="7" fillId="4" borderId="9" applyNumberFormat="0" applyFont="1" applyFill="1" applyBorder="1" applyAlignment="1" applyProtection="0">
      <alignment vertical="bottom"/>
    </xf>
    <xf numFmtId="0" fontId="7" fillId="6" borderId="1" applyNumberFormat="0" applyFont="1" applyFill="1" applyBorder="1" applyAlignment="1" applyProtection="0">
      <alignment horizontal="left" vertical="bottom"/>
    </xf>
    <xf numFmtId="0" fontId="12" fillId="7" borderId="1" applyNumberFormat="0" applyFont="1" applyFill="1" applyBorder="1" applyAlignment="1" applyProtection="0">
      <alignment horizontal="left" vertical="bottom"/>
    </xf>
    <xf numFmtId="9" fontId="7" fillId="6" borderId="1" applyNumberFormat="1" applyFont="1" applyFill="1" applyBorder="1" applyAlignment="1" applyProtection="0">
      <alignment horizontal="center" vertical="bottom"/>
    </xf>
    <xf numFmtId="0" fontId="0" fillId="4" borderId="10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0" fontId="0" fillId="4" borderId="14" applyNumberFormat="0" applyFont="1" applyFill="1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/>
    </xf>
    <xf numFmtId="0" fontId="0" fillId="4" borderId="16" applyNumberFormat="0" applyFont="1" applyFill="1" applyBorder="1" applyAlignment="1" applyProtection="0">
      <alignment vertical="bottom"/>
    </xf>
    <xf numFmtId="0" fontId="0" fillId="4" borderId="17" applyNumberFormat="0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4" borderId="1" applyNumberFormat="0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2" fillId="4" borderId="4" applyNumberFormat="0" applyFont="1" applyFill="1" applyBorder="1" applyAlignment="1" applyProtection="0">
      <alignment vertical="bottom"/>
    </xf>
    <xf numFmtId="0" fontId="2" fillId="4" borderId="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8" borderId="3" applyNumberFormat="1" applyFont="1" applyFill="1" applyBorder="1" applyAlignment="1" applyProtection="0">
      <alignment horizontal="left" vertical="bottom"/>
    </xf>
    <xf numFmtId="49" fontId="12" fillId="7" borderId="3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2f5597"/>
      <rgbColor rgb="ffffffff"/>
      <rgbColor rgb="ffaaaaaa"/>
      <rgbColor rgb="ffbfbfbf"/>
      <rgbColor rgb="ff1f3864"/>
      <rgbColor rgb="ffe2efda"/>
      <rgbColor rgb="ff595959"/>
      <rgbColor rgb="fffff2cc"/>
      <rgbColor rgb="ffddeb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72</v>
      </c>
      <c r="C11" s="3"/>
      <c r="D11" s="3"/>
    </row>
    <row r="12">
      <c r="B12" s="4"/>
      <c r="C12" t="s" s="4">
        <v>5</v>
      </c>
      <c r="D12" t="s" s="5">
        <v>72</v>
      </c>
    </row>
    <row r="13">
      <c r="B13" t="s" s="3">
        <v>103</v>
      </c>
      <c r="C13" s="3"/>
      <c r="D13" s="3"/>
    </row>
    <row r="14">
      <c r="B14" s="4"/>
      <c r="C14" t="s" s="4">
        <v>5</v>
      </c>
      <c r="D14" t="s" s="5">
        <v>103</v>
      </c>
    </row>
    <row r="15">
      <c r="B15" t="s" s="3">
        <v>154</v>
      </c>
      <c r="C15" s="3"/>
      <c r="D15" s="3"/>
    </row>
    <row r="16">
      <c r="B16" s="4"/>
      <c r="C16" t="s" s="4">
        <v>5</v>
      </c>
      <c r="D16" t="s" s="5">
        <v>154</v>
      </c>
    </row>
    <row r="17">
      <c r="B17" t="s" s="3">
        <v>210</v>
      </c>
      <c r="C17" s="3"/>
      <c r="D17" s="3"/>
    </row>
    <row r="18">
      <c r="B18" s="4"/>
      <c r="C18" t="s" s="4">
        <v>5</v>
      </c>
      <c r="D18" t="s" s="5">
        <v>210</v>
      </c>
    </row>
    <row r="19">
      <c r="B19" t="s" s="3">
        <v>215</v>
      </c>
      <c r="C19" s="3"/>
      <c r="D19" s="3"/>
    </row>
    <row r="20">
      <c r="B20" s="4"/>
      <c r="C20" t="s" s="4">
        <v>5</v>
      </c>
      <c r="D20" t="s" s="5">
        <v>215</v>
      </c>
    </row>
  </sheetData>
  <mergeCells count="1">
    <mergeCell ref="B3:D3"/>
  </mergeCells>
  <hyperlinks>
    <hyperlink ref="D10" location="'Stammdaten_Artikel'!R1C1" tooltip="" display="Stammdaten_Artikel"/>
    <hyperlink ref="D12" location="'Stammdaten_Mitarbeiter'!R1C1" tooltip="" display="Stammdaten_Mitarbeiter"/>
    <hyperlink ref="D14" location="'Bestellungen'!R1C1" tooltip="" display="Bestellungen"/>
    <hyperlink ref="D16" location="'01_SVERWEIS_WVERWEIS'!R1C1" tooltip="" display="01_SVERWEIS_WVERWEIS"/>
    <hyperlink ref="D18" location="'02_INDEX_VERGLEICH'!R1C1" tooltip="" display="02_INDEX_VERGLEICH"/>
    <hyperlink ref="D20" location="'03_XVERWEIS_XVERGLEICH'!R1C1" tooltip="" display="03_XVERWEIS_XVERGLEICH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F23"/>
  <sheetViews>
    <sheetView workbookViewId="0" showGridLines="0" defaultGridColor="1"/>
  </sheetViews>
  <sheetFormatPr defaultColWidth="8.66667" defaultRowHeight="15" customHeight="1" outlineLevelRow="0" outlineLevelCol="0"/>
  <cols>
    <col min="1" max="1" width="21.3516" style="6" customWidth="1"/>
    <col min="2" max="2" width="39.1719" style="6" customWidth="1"/>
    <col min="3" max="3" width="28.5" style="6" customWidth="1"/>
    <col min="4" max="4" width="35.6719" style="6" customWidth="1"/>
    <col min="5" max="5" width="32" style="6" customWidth="1"/>
    <col min="6" max="6" width="21.3516" style="6" customWidth="1"/>
    <col min="7" max="16384" width="8.67188" style="6" customWidth="1"/>
  </cols>
  <sheetData>
    <row r="1" ht="24.35" customHeight="1">
      <c r="A1" t="s" s="7">
        <v>6</v>
      </c>
      <c r="B1" s="8"/>
      <c r="C1" s="8"/>
      <c r="D1" s="8"/>
      <c r="E1" s="8"/>
      <c r="F1" s="8"/>
    </row>
    <row r="2" ht="24.35" customHeight="1">
      <c r="A2" s="9"/>
      <c r="B2" s="9"/>
      <c r="C2" s="9"/>
      <c r="D2" s="9"/>
      <c r="E2" s="9"/>
      <c r="F2" s="9"/>
    </row>
    <row r="3" ht="24.35" customHeight="1">
      <c r="A3" t="s" s="10">
        <v>7</v>
      </c>
      <c r="B3" t="s" s="10">
        <v>8</v>
      </c>
      <c r="C3" t="s" s="10">
        <v>9</v>
      </c>
      <c r="D3" t="s" s="10">
        <v>10</v>
      </c>
      <c r="E3" t="s" s="10">
        <v>11</v>
      </c>
      <c r="F3" t="s" s="10">
        <v>12</v>
      </c>
    </row>
    <row r="4" ht="24.35" customHeight="1">
      <c r="A4" t="s" s="11">
        <v>13</v>
      </c>
      <c r="B4" t="s" s="11">
        <v>14</v>
      </c>
      <c r="C4" t="s" s="11">
        <v>15</v>
      </c>
      <c r="D4" t="s" s="11">
        <v>16</v>
      </c>
      <c r="E4" s="12">
        <v>650</v>
      </c>
      <c r="F4" t="s" s="11">
        <v>17</v>
      </c>
    </row>
    <row r="5" ht="24.35" customHeight="1">
      <c r="A5" t="s" s="11">
        <v>18</v>
      </c>
      <c r="B5" t="s" s="11">
        <v>19</v>
      </c>
      <c r="C5" t="s" s="11">
        <v>15</v>
      </c>
      <c r="D5" t="s" s="11">
        <v>16</v>
      </c>
      <c r="E5" s="12">
        <v>180</v>
      </c>
      <c r="F5" t="s" s="11">
        <v>17</v>
      </c>
    </row>
    <row r="6" ht="24.35" customHeight="1">
      <c r="A6" t="s" s="11">
        <v>20</v>
      </c>
      <c r="B6" t="s" s="11">
        <v>21</v>
      </c>
      <c r="C6" t="s" s="11">
        <v>15</v>
      </c>
      <c r="D6" t="s" s="11">
        <v>16</v>
      </c>
      <c r="E6" s="12">
        <v>35</v>
      </c>
      <c r="F6" t="s" s="11">
        <v>17</v>
      </c>
    </row>
    <row r="7" ht="24.35" customHeight="1">
      <c r="A7" t="s" s="11">
        <v>22</v>
      </c>
      <c r="B7" t="s" s="11">
        <v>23</v>
      </c>
      <c r="C7" t="s" s="11">
        <v>15</v>
      </c>
      <c r="D7" t="s" s="11">
        <v>16</v>
      </c>
      <c r="E7" s="12">
        <v>18</v>
      </c>
      <c r="F7" t="s" s="11">
        <v>17</v>
      </c>
    </row>
    <row r="8" ht="24.35" customHeight="1">
      <c r="A8" t="s" s="11">
        <v>24</v>
      </c>
      <c r="B8" t="s" s="11">
        <v>25</v>
      </c>
      <c r="C8" t="s" s="11">
        <v>26</v>
      </c>
      <c r="D8" t="s" s="11">
        <v>27</v>
      </c>
      <c r="E8" s="12">
        <v>8</v>
      </c>
      <c r="F8" t="s" s="11">
        <v>28</v>
      </c>
    </row>
    <row r="9" ht="24.35" customHeight="1">
      <c r="A9" t="s" s="11">
        <v>29</v>
      </c>
      <c r="B9" t="s" s="11">
        <v>30</v>
      </c>
      <c r="C9" t="s" s="11">
        <v>15</v>
      </c>
      <c r="D9" t="s" s="11">
        <v>16</v>
      </c>
      <c r="E9" s="12">
        <v>45</v>
      </c>
      <c r="F9" t="s" s="11">
        <v>17</v>
      </c>
    </row>
    <row r="10" ht="24.35" customHeight="1">
      <c r="A10" t="s" s="11">
        <v>31</v>
      </c>
      <c r="B10" t="s" s="11">
        <v>32</v>
      </c>
      <c r="C10" t="s" s="11">
        <v>33</v>
      </c>
      <c r="D10" t="s" s="11">
        <v>34</v>
      </c>
      <c r="E10" s="12">
        <v>6</v>
      </c>
      <c r="F10" t="s" s="11">
        <v>35</v>
      </c>
    </row>
    <row r="11" ht="24.35" customHeight="1">
      <c r="A11" t="s" s="11">
        <v>36</v>
      </c>
      <c r="B11" t="s" s="11">
        <v>37</v>
      </c>
      <c r="C11" t="s" s="11">
        <v>33</v>
      </c>
      <c r="D11" t="s" s="11">
        <v>34</v>
      </c>
      <c r="E11" s="12">
        <v>1</v>
      </c>
      <c r="F11" t="s" s="11">
        <v>35</v>
      </c>
    </row>
    <row r="12" ht="24.35" customHeight="1">
      <c r="A12" t="s" s="11">
        <v>38</v>
      </c>
      <c r="B12" t="s" s="11">
        <v>39</v>
      </c>
      <c r="C12" t="s" s="11">
        <v>33</v>
      </c>
      <c r="D12" t="s" s="11">
        <v>34</v>
      </c>
      <c r="E12" s="12">
        <v>2</v>
      </c>
      <c r="F12" t="s" s="11">
        <v>35</v>
      </c>
    </row>
    <row r="13" ht="24.35" customHeight="1">
      <c r="A13" t="s" s="11">
        <v>40</v>
      </c>
      <c r="B13" t="s" s="11">
        <v>41</v>
      </c>
      <c r="C13" t="s" s="11">
        <v>33</v>
      </c>
      <c r="D13" t="s" s="11">
        <v>42</v>
      </c>
      <c r="E13" s="12">
        <v>120</v>
      </c>
      <c r="F13" t="s" s="11">
        <v>43</v>
      </c>
    </row>
    <row r="14" ht="24.35" customHeight="1">
      <c r="A14" t="s" s="11">
        <v>44</v>
      </c>
      <c r="B14" t="s" s="11">
        <v>45</v>
      </c>
      <c r="C14" t="s" s="11">
        <v>46</v>
      </c>
      <c r="D14" t="s" s="11">
        <v>47</v>
      </c>
      <c r="E14" s="12">
        <v>95</v>
      </c>
      <c r="F14" t="s" s="11">
        <v>48</v>
      </c>
    </row>
    <row r="15" ht="24.35" customHeight="1">
      <c r="A15" t="s" s="11">
        <v>49</v>
      </c>
      <c r="B15" t="s" s="11">
        <v>50</v>
      </c>
      <c r="C15" t="s" s="11">
        <v>46</v>
      </c>
      <c r="D15" t="s" s="11">
        <v>47</v>
      </c>
      <c r="E15" s="12">
        <v>25</v>
      </c>
      <c r="F15" t="s" s="11">
        <v>48</v>
      </c>
    </row>
    <row r="16" ht="24.35" customHeight="1">
      <c r="A16" t="s" s="11">
        <v>51</v>
      </c>
      <c r="B16" t="s" s="11">
        <v>52</v>
      </c>
      <c r="C16" t="s" s="11">
        <v>46</v>
      </c>
      <c r="D16" t="s" s="11">
        <v>53</v>
      </c>
      <c r="E16" s="12">
        <v>12</v>
      </c>
      <c r="F16" t="s" s="11">
        <v>48</v>
      </c>
    </row>
    <row r="17" ht="24.35" customHeight="1">
      <c r="A17" t="s" s="11">
        <v>54</v>
      </c>
      <c r="B17" t="s" s="11">
        <v>55</v>
      </c>
      <c r="C17" t="s" s="11">
        <v>46</v>
      </c>
      <c r="D17" t="s" s="11">
        <v>53</v>
      </c>
      <c r="E17" s="12">
        <v>9</v>
      </c>
      <c r="F17" t="s" s="11">
        <v>48</v>
      </c>
    </row>
    <row r="18" ht="24.35" customHeight="1">
      <c r="A18" t="s" s="11">
        <v>56</v>
      </c>
      <c r="B18" t="s" s="11">
        <v>57</v>
      </c>
      <c r="C18" t="s" s="11">
        <v>58</v>
      </c>
      <c r="D18" t="s" s="11">
        <v>59</v>
      </c>
      <c r="E18" s="12">
        <v>0.8</v>
      </c>
      <c r="F18" t="s" s="11">
        <v>60</v>
      </c>
    </row>
    <row r="19" ht="24.35" customHeight="1">
      <c r="A19" t="s" s="11">
        <v>61</v>
      </c>
      <c r="B19" t="s" s="11">
        <v>62</v>
      </c>
      <c r="C19" t="s" s="11">
        <v>58</v>
      </c>
      <c r="D19" t="s" s="11">
        <v>59</v>
      </c>
      <c r="E19" s="12">
        <v>1.5</v>
      </c>
      <c r="F19" t="s" s="11">
        <v>60</v>
      </c>
    </row>
    <row r="20" ht="24.35" customHeight="1">
      <c r="A20" t="s" s="11">
        <v>63</v>
      </c>
      <c r="B20" t="s" s="11">
        <v>64</v>
      </c>
      <c r="C20" t="s" s="11">
        <v>58</v>
      </c>
      <c r="D20" t="s" s="11">
        <v>59</v>
      </c>
      <c r="E20" s="12">
        <v>3</v>
      </c>
      <c r="F20" t="s" s="11">
        <v>60</v>
      </c>
    </row>
    <row r="21" ht="24.35" customHeight="1">
      <c r="A21" t="s" s="11">
        <v>65</v>
      </c>
      <c r="B21" t="s" s="11">
        <v>66</v>
      </c>
      <c r="C21" t="s" s="11">
        <v>58</v>
      </c>
      <c r="D21" t="s" s="11">
        <v>59</v>
      </c>
      <c r="E21" s="12">
        <v>14</v>
      </c>
      <c r="F21" t="s" s="11">
        <v>67</v>
      </c>
    </row>
    <row r="22" ht="24.35" customHeight="1">
      <c r="A22" t="s" s="11">
        <v>68</v>
      </c>
      <c r="B22" t="s" s="11">
        <v>69</v>
      </c>
      <c r="C22" t="s" s="11">
        <v>26</v>
      </c>
      <c r="D22" t="s" s="11">
        <v>27</v>
      </c>
      <c r="E22" s="12">
        <v>75</v>
      </c>
      <c r="F22" t="s" s="11">
        <v>28</v>
      </c>
    </row>
    <row r="23" ht="24.35" customHeight="1">
      <c r="A23" t="s" s="11">
        <v>70</v>
      </c>
      <c r="B23" t="s" s="11">
        <v>71</v>
      </c>
      <c r="C23" t="s" s="11">
        <v>15</v>
      </c>
      <c r="D23" t="s" s="11">
        <v>16</v>
      </c>
      <c r="E23" s="12">
        <v>55</v>
      </c>
      <c r="F23" t="s" s="11">
        <v>17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66667" defaultRowHeight="15" customHeight="1" outlineLevelRow="0" outlineLevelCol="0"/>
  <cols>
    <col min="1" max="1" width="27.8516" style="13" customWidth="1"/>
    <col min="2" max="2" width="35.6719" style="13" customWidth="1"/>
    <col min="3" max="3" width="39.6719" style="13" customWidth="1"/>
    <col min="4" max="4" width="31.6719" style="13" customWidth="1"/>
    <col min="5" max="5" width="17.1719" style="13" customWidth="1"/>
    <col min="6" max="16384" width="8.67188" style="13" customWidth="1"/>
  </cols>
  <sheetData>
    <row r="1" ht="43.4" customHeight="1">
      <c r="A1" t="s" s="7">
        <v>73</v>
      </c>
      <c r="B1" s="8"/>
      <c r="C1" s="8"/>
      <c r="D1" s="8"/>
      <c r="E1" s="8"/>
    </row>
    <row r="2" ht="31.75" customHeight="1">
      <c r="A2" s="9"/>
      <c r="B2" s="9"/>
      <c r="C2" s="9"/>
      <c r="D2" s="9"/>
      <c r="E2" s="8"/>
    </row>
    <row r="3" ht="34.25" customHeight="1">
      <c r="A3" t="s" s="10">
        <v>74</v>
      </c>
      <c r="B3" t="s" s="10">
        <v>75</v>
      </c>
      <c r="C3" t="s" s="10">
        <v>76</v>
      </c>
      <c r="D3" t="s" s="10">
        <v>77</v>
      </c>
      <c r="E3" s="14"/>
    </row>
    <row r="4" ht="34.25" customHeight="1">
      <c r="A4" t="s" s="11">
        <v>78</v>
      </c>
      <c r="B4" t="s" s="11">
        <v>79</v>
      </c>
      <c r="C4" t="s" s="11">
        <v>80</v>
      </c>
      <c r="D4" s="15">
        <v>32</v>
      </c>
      <c r="E4" s="14"/>
    </row>
    <row r="5" ht="34.25" customHeight="1">
      <c r="A5" t="s" s="11">
        <v>81</v>
      </c>
      <c r="B5" t="s" s="11">
        <v>82</v>
      </c>
      <c r="C5" t="s" s="11">
        <v>80</v>
      </c>
      <c r="D5" s="15">
        <v>32</v>
      </c>
      <c r="E5" s="14"/>
    </row>
    <row r="6" ht="34.25" customHeight="1">
      <c r="A6" t="s" s="11">
        <v>83</v>
      </c>
      <c r="B6" t="s" s="11">
        <v>84</v>
      </c>
      <c r="C6" t="s" s="11">
        <v>85</v>
      </c>
      <c r="D6" s="15">
        <v>28</v>
      </c>
      <c r="E6" s="14"/>
    </row>
    <row r="7" ht="34.25" customHeight="1">
      <c r="A7" t="s" s="11">
        <v>86</v>
      </c>
      <c r="B7" t="s" s="11">
        <v>87</v>
      </c>
      <c r="C7" t="s" s="11">
        <v>85</v>
      </c>
      <c r="D7" s="15">
        <v>28</v>
      </c>
      <c r="E7" s="14"/>
    </row>
    <row r="8" ht="34.25" customHeight="1">
      <c r="A8" t="s" s="11">
        <v>88</v>
      </c>
      <c r="B8" t="s" s="11">
        <v>89</v>
      </c>
      <c r="C8" t="s" s="11">
        <v>90</v>
      </c>
      <c r="D8" s="15">
        <v>26</v>
      </c>
      <c r="E8" s="14"/>
    </row>
    <row r="9" ht="34.25" customHeight="1">
      <c r="A9" t="s" s="11">
        <v>91</v>
      </c>
      <c r="B9" t="s" s="11">
        <v>92</v>
      </c>
      <c r="C9" t="s" s="11">
        <v>90</v>
      </c>
      <c r="D9" s="15">
        <v>26</v>
      </c>
      <c r="E9" s="14"/>
    </row>
    <row r="10" ht="34.25" customHeight="1">
      <c r="A10" t="s" s="11">
        <v>93</v>
      </c>
      <c r="B10" t="s" s="11">
        <v>94</v>
      </c>
      <c r="C10" t="s" s="11">
        <v>95</v>
      </c>
      <c r="D10" s="15">
        <v>34</v>
      </c>
      <c r="E10" s="14"/>
    </row>
    <row r="11" ht="34.25" customHeight="1">
      <c r="A11" t="s" s="11">
        <v>96</v>
      </c>
      <c r="B11" t="s" s="11">
        <v>97</v>
      </c>
      <c r="C11" t="s" s="11">
        <v>95</v>
      </c>
      <c r="D11" s="15">
        <v>34</v>
      </c>
      <c r="E11" s="14"/>
    </row>
    <row r="12" ht="34.25" customHeight="1">
      <c r="A12" t="s" s="11">
        <v>98</v>
      </c>
      <c r="B12" t="s" s="11">
        <v>99</v>
      </c>
      <c r="C12" t="s" s="11">
        <v>100</v>
      </c>
      <c r="D12" s="15">
        <v>27</v>
      </c>
      <c r="E12" s="14"/>
    </row>
    <row r="13" ht="34.25" customHeight="1">
      <c r="A13" t="s" s="11">
        <v>101</v>
      </c>
      <c r="B13" t="s" s="11">
        <v>102</v>
      </c>
      <c r="C13" t="s" s="11">
        <v>100</v>
      </c>
      <c r="D13" s="15">
        <v>27</v>
      </c>
      <c r="E13" s="14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8.66667" defaultRowHeight="15" customHeight="1" outlineLevelRow="0" outlineLevelCol="0"/>
  <cols>
    <col min="1" max="2" width="24.6719" style="16" customWidth="1"/>
    <col min="3" max="3" width="28.8516" style="16" customWidth="1"/>
    <col min="4" max="4" width="20.5" style="16" customWidth="1"/>
    <col min="5" max="5" width="28.8516" style="16" customWidth="1"/>
    <col min="6" max="6" width="26.6719" style="16" customWidth="1"/>
    <col min="7" max="7" width="32.8516" style="16" customWidth="1"/>
    <col min="8" max="16384" width="8.67188" style="16" customWidth="1"/>
  </cols>
  <sheetData>
    <row r="1" ht="23.6" customHeight="1">
      <c r="A1" t="s" s="7">
        <v>104</v>
      </c>
      <c r="B1" s="17"/>
      <c r="C1" s="17"/>
      <c r="D1" s="17"/>
      <c r="E1" s="17"/>
      <c r="F1" s="17"/>
      <c r="G1" s="17"/>
    </row>
    <row r="2" ht="17.25" customHeight="1">
      <c r="A2" s="18"/>
      <c r="B2" s="18"/>
      <c r="C2" s="18"/>
      <c r="D2" s="18"/>
      <c r="E2" s="18"/>
      <c r="F2" s="18"/>
      <c r="G2" s="18"/>
    </row>
    <row r="3" ht="18.6" customHeight="1">
      <c r="A3" t="s" s="19">
        <v>105</v>
      </c>
      <c r="B3" t="s" s="19">
        <v>7</v>
      </c>
      <c r="C3" t="s" s="19">
        <v>106</v>
      </c>
      <c r="D3" t="s" s="19">
        <v>107</v>
      </c>
      <c r="E3" t="s" s="19">
        <v>74</v>
      </c>
      <c r="F3" t="s" s="19">
        <v>108</v>
      </c>
      <c r="G3" t="s" s="19">
        <v>109</v>
      </c>
    </row>
    <row r="4" ht="18.6" customHeight="1">
      <c r="A4" t="s" s="20">
        <v>110</v>
      </c>
      <c r="B4" t="s" s="20">
        <v>22</v>
      </c>
      <c r="C4" s="21">
        <v>46030</v>
      </c>
      <c r="D4" s="22">
        <v>12</v>
      </c>
      <c r="E4" t="s" s="20">
        <v>86</v>
      </c>
      <c r="F4" t="s" s="20">
        <v>111</v>
      </c>
      <c r="G4" s="22">
        <v>3</v>
      </c>
    </row>
    <row r="5" ht="18.6" customHeight="1">
      <c r="A5" t="s" s="20">
        <v>112</v>
      </c>
      <c r="B5" t="s" s="20">
        <v>22</v>
      </c>
      <c r="C5" s="21">
        <v>46096</v>
      </c>
      <c r="D5" s="22">
        <v>5</v>
      </c>
      <c r="E5" t="s" s="20">
        <v>101</v>
      </c>
      <c r="F5" t="s" s="20">
        <v>113</v>
      </c>
      <c r="G5" s="22">
        <v>6</v>
      </c>
    </row>
    <row r="6" ht="18.6" customHeight="1">
      <c r="A6" t="s" s="20">
        <v>114</v>
      </c>
      <c r="B6" t="s" s="20">
        <v>13</v>
      </c>
      <c r="C6" s="21">
        <v>46040</v>
      </c>
      <c r="D6" s="22">
        <v>5</v>
      </c>
      <c r="E6" t="s" s="20">
        <v>78</v>
      </c>
      <c r="F6" t="s" s="20">
        <v>111</v>
      </c>
      <c r="G6" s="22">
        <v>3</v>
      </c>
    </row>
    <row r="7" ht="18.6" customHeight="1">
      <c r="A7" t="s" s="20">
        <v>115</v>
      </c>
      <c r="B7" t="s" s="20">
        <v>70</v>
      </c>
      <c r="C7" s="21">
        <v>46030</v>
      </c>
      <c r="D7" s="22">
        <v>30</v>
      </c>
      <c r="E7" t="s" s="20">
        <v>86</v>
      </c>
      <c r="F7" t="s" s="20">
        <v>116</v>
      </c>
      <c r="G7" s="22"/>
    </row>
    <row r="8" ht="18.6" customHeight="1">
      <c r="A8" t="s" s="20">
        <v>117</v>
      </c>
      <c r="B8" t="s" s="20">
        <v>65</v>
      </c>
      <c r="C8" s="21">
        <v>46080</v>
      </c>
      <c r="D8" s="22">
        <v>10</v>
      </c>
      <c r="E8" t="s" s="20">
        <v>96</v>
      </c>
      <c r="F8" t="s" s="20">
        <v>118</v>
      </c>
      <c r="G8" s="22"/>
    </row>
    <row r="9" ht="18.6" customHeight="1">
      <c r="A9" t="s" s="20">
        <v>119</v>
      </c>
      <c r="B9" t="s" s="20">
        <v>38</v>
      </c>
      <c r="C9" s="21">
        <v>46027</v>
      </c>
      <c r="D9" s="22">
        <v>8</v>
      </c>
      <c r="E9" t="s" s="20">
        <v>93</v>
      </c>
      <c r="F9" t="s" s="20">
        <v>111</v>
      </c>
      <c r="G9" s="22">
        <v>4</v>
      </c>
    </row>
    <row r="10" ht="18.6" customHeight="1">
      <c r="A10" t="s" s="20">
        <v>120</v>
      </c>
      <c r="B10" t="s" s="20">
        <v>24</v>
      </c>
      <c r="C10" s="21">
        <v>46054</v>
      </c>
      <c r="D10" s="22">
        <v>15</v>
      </c>
      <c r="E10" t="s" s="20">
        <v>81</v>
      </c>
      <c r="F10" t="s" s="20">
        <v>111</v>
      </c>
      <c r="G10" s="22">
        <v>5</v>
      </c>
    </row>
    <row r="11" ht="18.6" customHeight="1">
      <c r="A11" t="s" s="20">
        <v>121</v>
      </c>
      <c r="B11" t="s" s="20">
        <v>22</v>
      </c>
      <c r="C11" s="21">
        <v>46072</v>
      </c>
      <c r="D11" s="22">
        <v>15</v>
      </c>
      <c r="E11" t="s" s="20">
        <v>101</v>
      </c>
      <c r="F11" t="s" s="20">
        <v>111</v>
      </c>
      <c r="G11" s="22">
        <v>2</v>
      </c>
    </row>
    <row r="12" ht="18.6" customHeight="1">
      <c r="A12" t="s" s="20">
        <v>122</v>
      </c>
      <c r="B12" t="s" s="20">
        <v>56</v>
      </c>
      <c r="C12" s="21">
        <v>46095</v>
      </c>
      <c r="D12" s="22">
        <v>5</v>
      </c>
      <c r="E12" t="s" s="20">
        <v>93</v>
      </c>
      <c r="F12" t="s" s="20">
        <v>111</v>
      </c>
      <c r="G12" s="22">
        <v>4</v>
      </c>
    </row>
    <row r="13" ht="18.6" customHeight="1">
      <c r="A13" t="s" s="20">
        <v>123</v>
      </c>
      <c r="B13" t="s" s="20">
        <v>70</v>
      </c>
      <c r="C13" s="21">
        <v>46073</v>
      </c>
      <c r="D13" s="22">
        <v>40</v>
      </c>
      <c r="E13" t="s" s="20">
        <v>86</v>
      </c>
      <c r="F13" t="s" s="20">
        <v>116</v>
      </c>
      <c r="G13" s="22"/>
    </row>
    <row r="14" ht="18.6" customHeight="1">
      <c r="A14" t="s" s="20">
        <v>124</v>
      </c>
      <c r="B14" t="s" s="20">
        <v>20</v>
      </c>
      <c r="C14" s="21">
        <v>46032</v>
      </c>
      <c r="D14" s="22">
        <v>50</v>
      </c>
      <c r="E14" t="s" s="20">
        <v>86</v>
      </c>
      <c r="F14" t="s" s="20">
        <v>111</v>
      </c>
      <c r="G14" s="22">
        <v>2</v>
      </c>
    </row>
    <row r="15" ht="18.6" customHeight="1">
      <c r="A15" t="s" s="20">
        <v>125</v>
      </c>
      <c r="B15" t="s" s="20">
        <v>36</v>
      </c>
      <c r="C15" s="21">
        <v>46039</v>
      </c>
      <c r="D15" s="22">
        <v>20</v>
      </c>
      <c r="E15" t="s" s="20">
        <v>88</v>
      </c>
      <c r="F15" t="s" s="20">
        <v>113</v>
      </c>
      <c r="G15" s="22">
        <v>11</v>
      </c>
    </row>
    <row r="16" ht="18.6" customHeight="1">
      <c r="A16" t="s" s="20">
        <v>126</v>
      </c>
      <c r="B16" t="s" s="20">
        <v>29</v>
      </c>
      <c r="C16" s="21">
        <v>46074</v>
      </c>
      <c r="D16" s="22">
        <v>15</v>
      </c>
      <c r="E16" t="s" s="20">
        <v>86</v>
      </c>
      <c r="F16" t="s" s="20">
        <v>116</v>
      </c>
      <c r="G16" s="22"/>
    </row>
    <row r="17" ht="18.6" customHeight="1">
      <c r="A17" t="s" s="20">
        <v>127</v>
      </c>
      <c r="B17" t="s" s="20">
        <v>38</v>
      </c>
      <c r="C17" s="21">
        <v>46109</v>
      </c>
      <c r="D17" s="22">
        <v>5</v>
      </c>
      <c r="E17" t="s" s="20">
        <v>101</v>
      </c>
      <c r="F17" t="s" s="20">
        <v>116</v>
      </c>
      <c r="G17" s="22"/>
    </row>
    <row r="18" ht="18.6" customHeight="1">
      <c r="A18" t="s" s="20">
        <v>128</v>
      </c>
      <c r="B18" t="s" s="20">
        <v>29</v>
      </c>
      <c r="C18" s="21">
        <v>46095</v>
      </c>
      <c r="D18" s="22">
        <v>10</v>
      </c>
      <c r="E18" t="s" s="20">
        <v>83</v>
      </c>
      <c r="F18" t="s" s="20">
        <v>113</v>
      </c>
      <c r="G18" s="22">
        <v>12</v>
      </c>
    </row>
    <row r="19" ht="18.6" customHeight="1">
      <c r="A19" t="s" s="20">
        <v>129</v>
      </c>
      <c r="B19" t="s" s="20">
        <v>13</v>
      </c>
      <c r="C19" s="21">
        <v>46063</v>
      </c>
      <c r="D19" s="22">
        <v>10</v>
      </c>
      <c r="E19" t="s" s="20">
        <v>81</v>
      </c>
      <c r="F19" t="s" s="20">
        <v>113</v>
      </c>
      <c r="G19" s="22">
        <v>9</v>
      </c>
    </row>
    <row r="20" ht="18.6" customHeight="1">
      <c r="A20" t="s" s="20">
        <v>130</v>
      </c>
      <c r="B20" t="s" s="20">
        <v>44</v>
      </c>
      <c r="C20" s="21">
        <v>46034</v>
      </c>
      <c r="D20" s="22">
        <v>10</v>
      </c>
      <c r="E20" t="s" s="20">
        <v>78</v>
      </c>
      <c r="F20" t="s" s="20">
        <v>111</v>
      </c>
      <c r="G20" s="22">
        <v>5</v>
      </c>
    </row>
    <row r="21" ht="18.6" customHeight="1">
      <c r="A21" t="s" s="20">
        <v>131</v>
      </c>
      <c r="B21" t="s" s="20">
        <v>38</v>
      </c>
      <c r="C21" s="21">
        <v>46035</v>
      </c>
      <c r="D21" s="22">
        <v>10</v>
      </c>
      <c r="E21" t="s" s="20">
        <v>101</v>
      </c>
      <c r="F21" t="s" s="20">
        <v>116</v>
      </c>
      <c r="G21" s="22"/>
    </row>
    <row r="22" ht="18.6" customHeight="1">
      <c r="A22" t="s" s="20">
        <v>132</v>
      </c>
      <c r="B22" t="s" s="20">
        <v>44</v>
      </c>
      <c r="C22" s="21">
        <v>46054</v>
      </c>
      <c r="D22" s="22">
        <v>50</v>
      </c>
      <c r="E22" t="s" s="20">
        <v>96</v>
      </c>
      <c r="F22" t="s" s="20">
        <v>113</v>
      </c>
      <c r="G22" s="22">
        <v>13</v>
      </c>
    </row>
    <row r="23" ht="18.6" customHeight="1">
      <c r="A23" t="s" s="20">
        <v>133</v>
      </c>
      <c r="B23" t="s" s="20">
        <v>24</v>
      </c>
      <c r="C23" s="21">
        <v>46060</v>
      </c>
      <c r="D23" s="22">
        <v>8</v>
      </c>
      <c r="E23" t="s" s="20">
        <v>86</v>
      </c>
      <c r="F23" t="s" s="20">
        <v>116</v>
      </c>
      <c r="G23" s="22"/>
    </row>
    <row r="24" ht="18.6" customHeight="1">
      <c r="A24" t="s" s="20">
        <v>134</v>
      </c>
      <c r="B24" t="s" s="20">
        <v>65</v>
      </c>
      <c r="C24" s="21">
        <v>46095</v>
      </c>
      <c r="D24" s="22">
        <v>12</v>
      </c>
      <c r="E24" t="s" s="20">
        <v>101</v>
      </c>
      <c r="F24" t="s" s="20">
        <v>113</v>
      </c>
      <c r="G24" s="22">
        <v>12</v>
      </c>
    </row>
    <row r="25" ht="18.6" customHeight="1">
      <c r="A25" t="s" s="20">
        <v>135</v>
      </c>
      <c r="B25" t="s" s="20">
        <v>49</v>
      </c>
      <c r="C25" s="21">
        <v>46055</v>
      </c>
      <c r="D25" s="22">
        <v>8</v>
      </c>
      <c r="E25" t="s" s="20">
        <v>98</v>
      </c>
      <c r="F25" t="s" s="20">
        <v>113</v>
      </c>
      <c r="G25" s="22">
        <v>7</v>
      </c>
    </row>
    <row r="26" ht="18.6" customHeight="1">
      <c r="A26" t="s" s="20">
        <v>136</v>
      </c>
      <c r="B26" t="s" s="20">
        <v>18</v>
      </c>
      <c r="C26" s="21">
        <v>46041</v>
      </c>
      <c r="D26" s="22">
        <v>8</v>
      </c>
      <c r="E26" t="s" s="20">
        <v>83</v>
      </c>
      <c r="F26" t="s" s="20">
        <v>116</v>
      </c>
      <c r="G26" s="22"/>
    </row>
    <row r="27" ht="18.6" customHeight="1">
      <c r="A27" t="s" s="20">
        <v>137</v>
      </c>
      <c r="B27" t="s" s="20">
        <v>54</v>
      </c>
      <c r="C27" s="21">
        <v>46103</v>
      </c>
      <c r="D27" s="22">
        <v>5</v>
      </c>
      <c r="E27" t="s" s="20">
        <v>93</v>
      </c>
      <c r="F27" t="s" s="20">
        <v>113</v>
      </c>
      <c r="G27" s="22">
        <v>13</v>
      </c>
    </row>
    <row r="28" ht="18.6" customHeight="1">
      <c r="A28" t="s" s="20">
        <v>138</v>
      </c>
      <c r="B28" t="s" s="20">
        <v>63</v>
      </c>
      <c r="C28" s="21">
        <v>46059</v>
      </c>
      <c r="D28" s="22">
        <v>30</v>
      </c>
      <c r="E28" t="s" s="20">
        <v>78</v>
      </c>
      <c r="F28" t="s" s="20">
        <v>116</v>
      </c>
      <c r="G28" s="22"/>
    </row>
    <row r="29" ht="18.6" customHeight="1">
      <c r="A29" t="s" s="20">
        <v>139</v>
      </c>
      <c r="B29" t="s" s="20">
        <v>22</v>
      </c>
      <c r="C29" s="21">
        <v>46095</v>
      </c>
      <c r="D29" s="22">
        <v>12</v>
      </c>
      <c r="E29" t="s" s="20">
        <v>91</v>
      </c>
      <c r="F29" t="s" s="20">
        <v>111</v>
      </c>
      <c r="G29" s="22">
        <v>4</v>
      </c>
    </row>
    <row r="30" ht="18.6" customHeight="1">
      <c r="A30" t="s" s="20">
        <v>140</v>
      </c>
      <c r="B30" t="s" s="20">
        <v>54</v>
      </c>
      <c r="C30" s="21">
        <v>46047</v>
      </c>
      <c r="D30" s="22">
        <v>25</v>
      </c>
      <c r="E30" t="s" s="20">
        <v>78</v>
      </c>
      <c r="F30" t="s" s="20">
        <v>116</v>
      </c>
      <c r="G30" s="22"/>
    </row>
    <row r="31" ht="18.6" customHeight="1">
      <c r="A31" t="s" s="20">
        <v>141</v>
      </c>
      <c r="B31" t="s" s="20">
        <v>38</v>
      </c>
      <c r="C31" s="21">
        <v>46091</v>
      </c>
      <c r="D31" s="22">
        <v>8</v>
      </c>
      <c r="E31" t="s" s="20">
        <v>98</v>
      </c>
      <c r="F31" t="s" s="20">
        <v>111</v>
      </c>
      <c r="G31" s="22">
        <v>4</v>
      </c>
    </row>
    <row r="32" ht="18.6" customHeight="1">
      <c r="A32" t="s" s="20">
        <v>142</v>
      </c>
      <c r="B32" t="s" s="20">
        <v>63</v>
      </c>
      <c r="C32" s="21">
        <v>46104</v>
      </c>
      <c r="D32" s="22">
        <v>10</v>
      </c>
      <c r="E32" t="s" s="20">
        <v>83</v>
      </c>
      <c r="F32" t="s" s="20">
        <v>111</v>
      </c>
      <c r="G32" s="22">
        <v>3</v>
      </c>
    </row>
    <row r="33" ht="18.6" customHeight="1">
      <c r="A33" t="s" s="20">
        <v>143</v>
      </c>
      <c r="B33" t="s" s="20">
        <v>65</v>
      </c>
      <c r="C33" s="21">
        <v>46094</v>
      </c>
      <c r="D33" s="22">
        <v>2</v>
      </c>
      <c r="E33" t="s" s="20">
        <v>101</v>
      </c>
      <c r="F33" t="s" s="20">
        <v>111</v>
      </c>
      <c r="G33" s="22">
        <v>5</v>
      </c>
    </row>
    <row r="34" ht="18.6" customHeight="1">
      <c r="A34" t="s" s="20">
        <v>144</v>
      </c>
      <c r="B34" t="s" s="20">
        <v>13</v>
      </c>
      <c r="C34" s="21">
        <v>46041</v>
      </c>
      <c r="D34" s="22">
        <v>15</v>
      </c>
      <c r="E34" t="s" s="20">
        <v>88</v>
      </c>
      <c r="F34" t="s" s="20">
        <v>111</v>
      </c>
      <c r="G34" s="22">
        <v>2</v>
      </c>
    </row>
    <row r="35" ht="18.6" customHeight="1">
      <c r="A35" t="s" s="20">
        <v>145</v>
      </c>
      <c r="B35" t="s" s="20">
        <v>36</v>
      </c>
      <c r="C35" s="21">
        <v>46099</v>
      </c>
      <c r="D35" s="22">
        <v>5</v>
      </c>
      <c r="E35" t="s" s="20">
        <v>81</v>
      </c>
      <c r="F35" t="s" s="20">
        <v>116</v>
      </c>
      <c r="G35" s="22"/>
    </row>
    <row r="36" ht="18.6" customHeight="1">
      <c r="A36" t="s" s="20">
        <v>146</v>
      </c>
      <c r="B36" t="s" s="20">
        <v>61</v>
      </c>
      <c r="C36" s="21">
        <v>46035</v>
      </c>
      <c r="D36" s="22">
        <v>30</v>
      </c>
      <c r="E36" t="s" s="20">
        <v>83</v>
      </c>
      <c r="F36" t="s" s="20">
        <v>111</v>
      </c>
      <c r="G36" s="22">
        <v>5</v>
      </c>
    </row>
    <row r="37" ht="18.6" customHeight="1">
      <c r="A37" t="s" s="20">
        <v>147</v>
      </c>
      <c r="B37" t="s" s="20">
        <v>13</v>
      </c>
      <c r="C37" s="21">
        <v>46103</v>
      </c>
      <c r="D37" s="22">
        <v>8</v>
      </c>
      <c r="E37" t="s" s="20">
        <v>78</v>
      </c>
      <c r="F37" t="s" s="20">
        <v>111</v>
      </c>
      <c r="G37" s="22">
        <v>4</v>
      </c>
    </row>
    <row r="38" ht="18.6" customHeight="1">
      <c r="A38" t="s" s="20">
        <v>148</v>
      </c>
      <c r="B38" t="s" s="20">
        <v>54</v>
      </c>
      <c r="C38" s="21">
        <v>46054</v>
      </c>
      <c r="D38" s="22">
        <v>30</v>
      </c>
      <c r="E38" t="s" s="20">
        <v>86</v>
      </c>
      <c r="F38" t="s" s="20">
        <v>116</v>
      </c>
      <c r="G38" s="22"/>
    </row>
    <row r="39" ht="18.6" customHeight="1">
      <c r="A39" t="s" s="20">
        <v>149</v>
      </c>
      <c r="B39" t="s" s="20">
        <v>40</v>
      </c>
      <c r="C39" s="21">
        <v>46078</v>
      </c>
      <c r="D39" s="22">
        <v>50</v>
      </c>
      <c r="E39" t="s" s="20">
        <v>91</v>
      </c>
      <c r="F39" t="s" s="20">
        <v>113</v>
      </c>
      <c r="G39" s="22">
        <v>14</v>
      </c>
    </row>
    <row r="40" ht="18.6" customHeight="1">
      <c r="A40" t="s" s="20">
        <v>150</v>
      </c>
      <c r="B40" t="s" s="20">
        <v>56</v>
      </c>
      <c r="C40" s="21">
        <v>46042</v>
      </c>
      <c r="D40" s="22">
        <v>10</v>
      </c>
      <c r="E40" t="s" s="20">
        <v>86</v>
      </c>
      <c r="F40" t="s" s="20">
        <v>111</v>
      </c>
      <c r="G40" s="22">
        <v>4</v>
      </c>
    </row>
    <row r="41" ht="18.6" customHeight="1">
      <c r="A41" t="s" s="20">
        <v>151</v>
      </c>
      <c r="B41" t="s" s="20">
        <v>13</v>
      </c>
      <c r="C41" s="21">
        <v>46102</v>
      </c>
      <c r="D41" s="22">
        <v>30</v>
      </c>
      <c r="E41" t="s" s="20">
        <v>86</v>
      </c>
      <c r="F41" t="s" s="20">
        <v>118</v>
      </c>
      <c r="G41" s="22"/>
    </row>
    <row r="42" ht="18.6" customHeight="1">
      <c r="A42" t="s" s="20">
        <v>152</v>
      </c>
      <c r="B42" t="s" s="20">
        <v>36</v>
      </c>
      <c r="C42" s="21">
        <v>46027</v>
      </c>
      <c r="D42" s="22">
        <v>5</v>
      </c>
      <c r="E42" t="s" s="20">
        <v>78</v>
      </c>
      <c r="F42" t="s" s="20">
        <v>111</v>
      </c>
      <c r="G42" s="22">
        <v>2</v>
      </c>
    </row>
    <row r="43" ht="18.6" customHeight="1">
      <c r="A43" t="s" s="20">
        <v>153</v>
      </c>
      <c r="B43" t="s" s="20">
        <v>18</v>
      </c>
      <c r="C43" s="21">
        <v>46069</v>
      </c>
      <c r="D43" s="22">
        <v>5</v>
      </c>
      <c r="E43" t="s" s="20">
        <v>98</v>
      </c>
      <c r="F43" t="s" s="20">
        <v>111</v>
      </c>
      <c r="G43" s="22">
        <v>4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57"/>
  <sheetViews>
    <sheetView workbookViewId="0" showGridLines="0" defaultGridColor="1"/>
  </sheetViews>
  <sheetFormatPr defaultColWidth="8.66667" defaultRowHeight="15" customHeight="1" outlineLevelRow="0" outlineLevelCol="0"/>
  <cols>
    <col min="1" max="1" width="26.1719" style="23" customWidth="1"/>
    <col min="2" max="2" width="15.5" style="23" customWidth="1"/>
    <col min="3" max="3" width="19" style="23" customWidth="1"/>
    <col min="4" max="4" width="27.6719" style="23" customWidth="1"/>
    <col min="5" max="5" width="48" style="23" customWidth="1"/>
    <col min="6" max="6" width="47" style="23" customWidth="1"/>
    <col min="7" max="7" width="29.6719" style="23" customWidth="1"/>
    <col min="8" max="8" width="4.85156" style="23" customWidth="1"/>
    <col min="9" max="9" width="16.6719" style="23" customWidth="1"/>
    <col min="10" max="10" width="11.8516" style="23" customWidth="1"/>
    <col min="11" max="16384" width="8.67188" style="23" customWidth="1"/>
  </cols>
  <sheetData>
    <row r="1" ht="21.35" customHeight="1">
      <c r="A1" t="s" s="7">
        <v>155</v>
      </c>
      <c r="B1" s="8"/>
      <c r="C1" s="8"/>
      <c r="D1" s="8"/>
      <c r="E1" s="8"/>
      <c r="F1" s="8"/>
      <c r="G1" s="8"/>
      <c r="H1" s="8"/>
      <c r="I1" s="8"/>
      <c r="J1" s="8"/>
    </row>
    <row r="2" ht="15.6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ht="19.1" customHeight="1">
      <c r="A3" t="s" s="24">
        <v>156</v>
      </c>
      <c r="B3" s="8"/>
      <c r="C3" s="8"/>
      <c r="D3" s="8"/>
      <c r="E3" s="8"/>
      <c r="F3" s="8"/>
      <c r="G3" s="8"/>
      <c r="H3" s="8"/>
      <c r="I3" s="8"/>
      <c r="J3" s="8"/>
    </row>
    <row r="4" ht="15.6" customHeight="1">
      <c r="A4" s="9"/>
      <c r="B4" s="9"/>
      <c r="C4" s="9"/>
      <c r="D4" s="9"/>
      <c r="E4" s="9"/>
      <c r="F4" s="9"/>
      <c r="G4" s="9"/>
      <c r="H4" s="8"/>
      <c r="I4" s="9"/>
      <c r="J4" s="9"/>
    </row>
    <row r="5" ht="16.85" customHeight="1">
      <c r="A5" t="s" s="10">
        <v>105</v>
      </c>
      <c r="B5" t="s" s="10">
        <v>7</v>
      </c>
      <c r="C5" t="s" s="10">
        <v>107</v>
      </c>
      <c r="D5" t="s" s="10">
        <v>157</v>
      </c>
      <c r="E5" t="s" s="10">
        <v>158</v>
      </c>
      <c r="F5" t="s" s="10">
        <v>159</v>
      </c>
      <c r="G5" t="s" s="10">
        <v>160</v>
      </c>
      <c r="H5" s="25"/>
      <c r="I5" t="s" s="10">
        <v>161</v>
      </c>
      <c r="J5" t="s" s="10">
        <v>162</v>
      </c>
    </row>
    <row r="6" ht="16.85" customHeight="1">
      <c r="A6" t="str" s="26" cm="1">
        <f t="array" ref="A6">'Bestellungen'!A4</f>
        <v>B001</v>
      </c>
      <c r="B6" t="str" s="26" cm="1">
        <f t="array" ref="B6">'Bestellungen'!B4</f>
        <v>A004</v>
      </c>
      <c r="C6" s="27" cm="1">
        <f t="array" ref="C6">'Bestellungen'!D4</f>
        <v>12</v>
      </c>
      <c r="D6" t="str" s="28" cm="1">
        <f t="array" ref="D6">VLOOKUP($B6,'Stammdaten_Artikel'!$A$4:$F$23,2,FALSE())</f>
        <v>Maus optisch</v>
      </c>
      <c r="E6" t="str" s="28" cm="1">
        <f t="array" ref="E6">VLOOKUP(B6,'Stammdaten_Artikel'!$A$4:$F$23,3,FALSE)</f>
        <v>Elektronik</v>
      </c>
      <c r="F6" t="str" s="29" cm="1">
        <f t="array" ref="F6">VLOOKUP(B6,'Stammdaten_Artikel'!$A$4:$F$23,4,FALSE)</f>
        <v>TechSupply GmbH</v>
      </c>
      <c r="G6" s="30" cm="1">
        <f t="array" ref="G6">VLOOKUP($C6,$I$6:$J$9,2,TRUE())</f>
        <v>0.05</v>
      </c>
      <c r="H6" s="25"/>
      <c r="I6" s="27">
        <v>0</v>
      </c>
      <c r="J6" s="31">
        <v>0</v>
      </c>
    </row>
    <row r="7" ht="16.85" customHeight="1">
      <c r="A7" t="str" s="26" cm="1">
        <f t="array" ref="A7">'Bestellungen'!A5</f>
        <v>B002</v>
      </c>
      <c r="B7" t="str" s="26" cm="1">
        <f t="array" ref="B7">'Bestellungen'!B5</f>
        <v>A004</v>
      </c>
      <c r="C7" s="27" cm="1">
        <f t="array" ref="C7">'Bestellungen'!D5</f>
        <v>5</v>
      </c>
      <c r="D7" t="str" s="28" cm="1">
        <f t="array" ref="D7">VLOOKUP($B7,'Stammdaten_Artikel'!$A$4:$F$23,2,FALSE())</f>
        <v>Maus optisch</v>
      </c>
      <c r="E7" t="str" s="28" cm="1">
        <f t="array" ref="E7">VLOOKUP(B7,'Stammdaten_Artikel'!$A$4:$F$23,3,FALSE)</f>
        <v>Elektronik</v>
      </c>
      <c r="F7" t="str" s="29" cm="1">
        <f t="array" ref="F7">VLOOKUP(B7,'Stammdaten_Artikel'!$A$4:$F$23,4,FALSE)</f>
        <v>TechSupply GmbH</v>
      </c>
      <c r="G7" s="30" cm="1">
        <f t="array" ref="G7">VLOOKUP($C7,$I$6:$J$9,2,TRUE())</f>
        <v>0</v>
      </c>
      <c r="H7" s="25"/>
      <c r="I7" s="27">
        <v>10</v>
      </c>
      <c r="J7" s="31">
        <v>0.05</v>
      </c>
    </row>
    <row r="8" ht="16.85" customHeight="1">
      <c r="A8" t="str" s="26" cm="1">
        <f t="array" ref="A8">'Bestellungen'!A6</f>
        <v>B003</v>
      </c>
      <c r="B8" t="str" s="26" cm="1">
        <f t="array" ref="B8">'Bestellungen'!B6</f>
        <v>A001</v>
      </c>
      <c r="C8" s="27" cm="1">
        <f t="array" ref="C8">'Bestellungen'!D6</f>
        <v>5</v>
      </c>
      <c r="D8" t="str" s="28" cm="1">
        <f t="array" ref="D8">VLOOKUP($B8,'Stammdaten_Artikel'!$A$4:$F$23,2,FALSE())</f>
        <v>Laptop 14 Zoll</v>
      </c>
      <c r="E8" t="str" s="28" cm="1">
        <f t="array" ref="E8">VLOOKUP(B8,'Stammdaten_Artikel'!$A$4:$F$23,3,FALSE)</f>
        <v>Elektronik</v>
      </c>
      <c r="F8" t="str" s="29" cm="1">
        <f t="array" ref="F8">VLOOKUP(B8,'Stammdaten_Artikel'!$A$4:$F$23,4,FALSE)</f>
        <v>TechSupply GmbH</v>
      </c>
      <c r="G8" s="30" cm="1">
        <f t="array" ref="G8">VLOOKUP($C8,$I$6:$J$9,2,TRUE())</f>
        <v>0</v>
      </c>
      <c r="H8" s="25"/>
      <c r="I8" s="27">
        <v>25</v>
      </c>
      <c r="J8" s="31">
        <v>0.1</v>
      </c>
    </row>
    <row r="9" ht="16.85" customHeight="1">
      <c r="A9" t="str" s="26" cm="1">
        <f t="array" ref="A9">'Bestellungen'!A7</f>
        <v>B004</v>
      </c>
      <c r="B9" t="str" s="26" cm="1">
        <f t="array" ref="B9">'Bestellungen'!B7</f>
        <v>A020</v>
      </c>
      <c r="C9" s="27" cm="1">
        <f t="array" ref="C9">'Bestellungen'!D7</f>
        <v>30</v>
      </c>
      <c r="D9" t="str" s="28" cm="1">
        <f t="array" ref="D9">VLOOKUP($B9,'Stammdaten_Artikel'!$A$4:$F$23,2,FALSE())</f>
        <v>Webcam</v>
      </c>
      <c r="E9" t="str" s="28" cm="1">
        <f t="array" ref="E9">VLOOKUP(B9,'Stammdaten_Artikel'!$A$4:$F$23,3,FALSE)</f>
        <v>Elektronik</v>
      </c>
      <c r="F9" t="str" s="29" cm="1">
        <f t="array" ref="F9">VLOOKUP(B9,'Stammdaten_Artikel'!$A$4:$F$23,4,FALSE)</f>
        <v>TechSupply GmbH</v>
      </c>
      <c r="G9" s="30" cm="1">
        <f t="array" ref="G9">VLOOKUP($C9,$I$6:$J$9,2,TRUE())</f>
        <v>0.1</v>
      </c>
      <c r="H9" s="25"/>
      <c r="I9" s="27">
        <v>40</v>
      </c>
      <c r="J9" s="31">
        <v>0.15</v>
      </c>
    </row>
    <row r="10" ht="16.85" customHeight="1">
      <c r="A10" t="str" s="26" cm="1">
        <f t="array" ref="A10">'Bestellungen'!A8</f>
        <v>B005</v>
      </c>
      <c r="B10" t="str" s="26" cm="1">
        <f t="array" ref="B10">'Bestellungen'!B8</f>
        <v>A018</v>
      </c>
      <c r="C10" s="27" cm="1">
        <f t="array" ref="C10">'Bestellungen'!D8</f>
        <v>10</v>
      </c>
      <c r="D10" t="str" s="28" cm="1">
        <f t="array" ref="D10">VLOOKUP($B10,'Stammdaten_Artikel'!$A$4:$F$23,2,FALSE())</f>
        <v>Luftpolsterfolie</v>
      </c>
      <c r="E10" t="str" s="28" cm="1">
        <f t="array" ref="E10">VLOOKUP(B10,'Stammdaten_Artikel'!$A$4:$F$23,3,FALSE)</f>
        <v>Verpackung</v>
      </c>
      <c r="F10" t="str" s="29" cm="1">
        <f t="array" ref="F10">VLOOKUP(B10,'Stammdaten_Artikel'!$A$4:$F$23,4,FALSE)</f>
        <v>PackIt GmbH</v>
      </c>
      <c r="G10" s="30" cm="1">
        <f t="array" ref="G10">VLOOKUP($C10,$I$6:$J$9,2,TRUE())</f>
        <v>0.05</v>
      </c>
      <c r="H10" s="14"/>
      <c r="I10" s="32"/>
      <c r="J10" s="32"/>
    </row>
    <row r="11" ht="16.85" customHeight="1">
      <c r="A11" t="str" s="26" cm="1">
        <f t="array" ref="A11">'Bestellungen'!A9</f>
        <v>B006</v>
      </c>
      <c r="B11" t="str" s="26" cm="1">
        <f t="array" ref="B11">'Bestellungen'!B9</f>
        <v>A009</v>
      </c>
      <c r="C11" s="27" cm="1">
        <f t="array" ref="C11">'Bestellungen'!D9</f>
        <v>8</v>
      </c>
      <c r="D11" t="str" s="28" cm="1">
        <f t="array" ref="D11">VLOOKUP($B11,'Stammdaten_Artikel'!$A$4:$F$23,2,FALSE())</f>
        <v>Ordner A4</v>
      </c>
      <c r="E11" t="str" s="28" cm="1">
        <f t="array" ref="E11">VLOOKUP(B11,'Stammdaten_Artikel'!$A$4:$F$23,3,FALSE)</f>
        <v>Bueromaterial</v>
      </c>
      <c r="F11" t="str" s="29" cm="1">
        <f t="array" ref="F11">VLOOKUP(B11,'Stammdaten_Artikel'!$A$4:$F$23,4,FALSE)</f>
        <v>PaperPlus KG</v>
      </c>
      <c r="G11" s="30" cm="1">
        <f t="array" ref="G11">VLOOKUP($C11,$I$6:$J$9,2,TRUE())</f>
        <v>0</v>
      </c>
      <c r="H11" s="14"/>
      <c r="I11" s="8"/>
      <c r="J11" s="8"/>
    </row>
    <row r="12" ht="16.85" customHeight="1">
      <c r="A12" t="str" s="26" cm="1">
        <f t="array" ref="A12">'Bestellungen'!A10</f>
        <v>B007</v>
      </c>
      <c r="B12" t="str" s="26" cm="1">
        <f t="array" ref="B12">'Bestellungen'!B10</f>
        <v>A005</v>
      </c>
      <c r="C12" s="27" cm="1">
        <f t="array" ref="C12">'Bestellungen'!D10</f>
        <v>15</v>
      </c>
      <c r="D12" t="str" s="28" cm="1">
        <f t="array" ref="D12">VLOOKUP($B12,'Stammdaten_Artikel'!$A$4:$F$23,2,FALSE())</f>
        <v>USB-C Kabel</v>
      </c>
      <c r="E12" t="str" s="28" cm="1">
        <f t="array" ref="E12">VLOOKUP(B12,'Stammdaten_Artikel'!$A$4:$F$23,3,FALSE)</f>
        <v>IT-Zubehoer</v>
      </c>
      <c r="F12" t="str" s="29" cm="1">
        <f t="array" ref="F12">VLOOKUP(B12,'Stammdaten_Artikel'!$A$4:$F$23,4,FALSE)</f>
        <v>KabelPro AG</v>
      </c>
      <c r="G12" s="30" cm="1">
        <f t="array" ref="G12">VLOOKUP($C12,$I$6:$J$9,2,TRUE())</f>
        <v>0.05</v>
      </c>
      <c r="H12" s="14"/>
      <c r="I12" s="8"/>
      <c r="J12" s="8"/>
    </row>
    <row r="13" ht="16.85" customHeight="1">
      <c r="A13" t="str" s="26" cm="1">
        <f t="array" ref="A13">'Bestellungen'!A11</f>
        <v>B008</v>
      </c>
      <c r="B13" t="str" s="26" cm="1">
        <f t="array" ref="B13">'Bestellungen'!B11</f>
        <v>A004</v>
      </c>
      <c r="C13" s="27" cm="1">
        <f t="array" ref="C13">'Bestellungen'!D11</f>
        <v>15</v>
      </c>
      <c r="D13" t="str" s="28" cm="1">
        <f t="array" ref="D13">VLOOKUP($B13,'Stammdaten_Artikel'!$A$4:$F$23,2,FALSE())</f>
        <v>Maus optisch</v>
      </c>
      <c r="E13" t="str" s="28" cm="1">
        <f t="array" ref="E13">VLOOKUP(B13,'Stammdaten_Artikel'!$A$4:$F$23,3,FALSE)</f>
        <v>Elektronik</v>
      </c>
      <c r="F13" t="str" s="29" cm="1">
        <f t="array" ref="F13">VLOOKUP(B13,'Stammdaten_Artikel'!$A$4:$F$23,4,FALSE)</f>
        <v>TechSupply GmbH</v>
      </c>
      <c r="G13" s="30" cm="1">
        <f t="array" ref="G13">VLOOKUP($C13,$I$6:$J$9,2,TRUE())</f>
        <v>0.05</v>
      </c>
      <c r="H13" s="14"/>
      <c r="I13" s="8"/>
      <c r="J13" s="8"/>
    </row>
    <row r="14" ht="16.85" customHeight="1">
      <c r="A14" t="str" s="26" cm="1">
        <f t="array" ref="A14">'Bestellungen'!A12</f>
        <v>B009</v>
      </c>
      <c r="B14" t="str" s="26" cm="1">
        <f t="array" ref="B14">'Bestellungen'!B12</f>
        <v>A015</v>
      </c>
      <c r="C14" s="27" cm="1">
        <f t="array" ref="C14">'Bestellungen'!D12</f>
        <v>5</v>
      </c>
      <c r="D14" t="str" s="28" cm="1">
        <f t="array" ref="D14">VLOOKUP($B14,'Stammdaten_Artikel'!$A$4:$F$23,2,FALSE())</f>
        <v>Kartonbox klein</v>
      </c>
      <c r="E14" t="str" s="28" cm="1">
        <f t="array" ref="E14">VLOOKUP(B14,'Stammdaten_Artikel'!$A$4:$F$23,3,FALSE)</f>
        <v>Verpackung</v>
      </c>
      <c r="F14" t="str" s="29" cm="1">
        <f t="array" ref="F14">VLOOKUP(B14,'Stammdaten_Artikel'!$A$4:$F$23,4,FALSE)</f>
        <v>PackIt GmbH</v>
      </c>
      <c r="G14" s="30" cm="1">
        <f t="array" ref="G14">VLOOKUP($C14,$I$6:$J$9,2,TRUE())</f>
        <v>0</v>
      </c>
      <c r="H14" s="14"/>
      <c r="I14" s="8"/>
      <c r="J14" s="8"/>
    </row>
    <row r="15" ht="16.85" customHeight="1">
      <c r="A15" t="str" s="26" cm="1">
        <f t="array" ref="A15">'Bestellungen'!A13</f>
        <v>B010</v>
      </c>
      <c r="B15" t="str" s="26" cm="1">
        <f t="array" ref="B15">'Bestellungen'!B13</f>
        <v>A020</v>
      </c>
      <c r="C15" s="27" cm="1">
        <f t="array" ref="C15">'Bestellungen'!D13</f>
        <v>40</v>
      </c>
      <c r="D15" t="str" s="28" cm="1">
        <f t="array" ref="D15">VLOOKUP($B15,'Stammdaten_Artikel'!$A$4:$F$23,2,FALSE())</f>
        <v>Webcam</v>
      </c>
      <c r="E15" t="str" s="28" cm="1">
        <f t="array" ref="E15">VLOOKUP(B15,'Stammdaten_Artikel'!$A$4:$F$23,3,FALSE)</f>
        <v>Elektronik</v>
      </c>
      <c r="F15" t="str" s="29" cm="1">
        <f t="array" ref="F15">VLOOKUP(B15,'Stammdaten_Artikel'!$A$4:$F$23,4,FALSE)</f>
        <v>TechSupply GmbH</v>
      </c>
      <c r="G15" s="30" cm="1">
        <f t="array" ref="G15">VLOOKUP($C15,$I$6:$J$9,2,TRUE())</f>
        <v>0.15</v>
      </c>
      <c r="H15" s="14"/>
      <c r="I15" s="8"/>
      <c r="J15" s="8"/>
    </row>
    <row r="16" ht="16.85" customHeight="1">
      <c r="A16" t="str" s="26" cm="1">
        <f t="array" ref="A16">'Bestellungen'!A14</f>
        <v>B011</v>
      </c>
      <c r="B16" t="str" s="26" cm="1">
        <f t="array" ref="B16">'Bestellungen'!B14</f>
        <v>A003</v>
      </c>
      <c r="C16" s="27" cm="1">
        <f t="array" ref="C16">'Bestellungen'!D14</f>
        <v>50</v>
      </c>
      <c r="D16" t="str" s="28" cm="1">
        <f t="array" ref="D16">VLOOKUP($B16,'Stammdaten_Artikel'!$A$4:$F$23,2,FALSE())</f>
        <v>Tastatur kabellos</v>
      </c>
      <c r="E16" t="str" s="28" cm="1">
        <f t="array" ref="E16">VLOOKUP(B16,'Stammdaten_Artikel'!$A$4:$F$23,3,FALSE)</f>
        <v>Elektronik</v>
      </c>
      <c r="F16" t="str" s="29" cm="1">
        <f t="array" ref="F16">VLOOKUP(B16,'Stammdaten_Artikel'!$A$4:$F$23,4,FALSE)</f>
        <v>TechSupply GmbH</v>
      </c>
      <c r="G16" s="30" cm="1">
        <f t="array" ref="G16">VLOOKUP($C16,$I$6:$J$9,2,TRUE())</f>
        <v>0.15</v>
      </c>
      <c r="H16" s="14"/>
      <c r="I16" s="8"/>
      <c r="J16" s="8"/>
    </row>
    <row r="17" ht="16.85" customHeight="1">
      <c r="A17" t="str" s="26" cm="1">
        <f t="array" ref="A17">'Bestellungen'!A15</f>
        <v>B012</v>
      </c>
      <c r="B17" t="str" s="26" cm="1">
        <f t="array" ref="B17">'Bestellungen'!B15</f>
        <v>A008</v>
      </c>
      <c r="C17" s="27" cm="1">
        <f t="array" ref="C17">'Bestellungen'!D15</f>
        <v>20</v>
      </c>
      <c r="D17" t="str" s="28" cm="1">
        <f t="array" ref="D17">VLOOKUP($B17,'Stammdaten_Artikel'!$A$4:$F$23,2,FALSE())</f>
        <v>Kugelschreiber</v>
      </c>
      <c r="E17" t="str" s="28" cm="1">
        <f t="array" ref="E17">VLOOKUP(B17,'Stammdaten_Artikel'!$A$4:$F$23,3,FALSE)</f>
        <v>Bueromaterial</v>
      </c>
      <c r="F17" t="str" s="29" cm="1">
        <f t="array" ref="F17">VLOOKUP(B17,'Stammdaten_Artikel'!$A$4:$F$23,4,FALSE)</f>
        <v>PaperPlus KG</v>
      </c>
      <c r="G17" s="30" cm="1">
        <f t="array" ref="G17">VLOOKUP($C17,$I$6:$J$9,2,TRUE())</f>
        <v>0.05</v>
      </c>
      <c r="H17" s="14"/>
      <c r="I17" s="8"/>
      <c r="J17" s="8"/>
    </row>
    <row r="18" ht="16.85" customHeight="1">
      <c r="A18" t="str" s="26" cm="1">
        <f t="array" ref="A18">'Bestellungen'!A16</f>
        <v>B013</v>
      </c>
      <c r="B18" t="str" s="26" cm="1">
        <f t="array" ref="B18">'Bestellungen'!B16</f>
        <v>A006</v>
      </c>
      <c r="C18" s="27" cm="1">
        <f t="array" ref="C18">'Bestellungen'!D16</f>
        <v>15</v>
      </c>
      <c r="D18" t="str" s="28" cm="1">
        <f t="array" ref="D18">VLOOKUP($B18,'Stammdaten_Artikel'!$A$4:$F$23,2,FALSE())</f>
        <v>Headset</v>
      </c>
      <c r="E18" t="str" s="28" cm="1">
        <f t="array" ref="E18">VLOOKUP(B18,'Stammdaten_Artikel'!$A$4:$F$23,3,FALSE)</f>
        <v>Elektronik</v>
      </c>
      <c r="F18" t="str" s="29" cm="1">
        <f t="array" ref="F18">VLOOKUP(B18,'Stammdaten_Artikel'!$A$4:$F$23,4,FALSE)</f>
        <v>TechSupply GmbH</v>
      </c>
      <c r="G18" s="30" cm="1">
        <f t="array" ref="G18">VLOOKUP($C18,$I$6:$J$9,2,TRUE())</f>
        <v>0.05</v>
      </c>
      <c r="H18" s="14"/>
      <c r="I18" s="8"/>
      <c r="J18" s="8"/>
    </row>
    <row r="19" ht="16.85" customHeight="1">
      <c r="A19" t="str" s="26" cm="1">
        <f t="array" ref="A19">'Bestellungen'!A17</f>
        <v>B014</v>
      </c>
      <c r="B19" t="str" s="26" cm="1">
        <f t="array" ref="B19">'Bestellungen'!B17</f>
        <v>A009</v>
      </c>
      <c r="C19" s="27" cm="1">
        <f t="array" ref="C19">'Bestellungen'!D17</f>
        <v>5</v>
      </c>
      <c r="D19" t="str" s="28" cm="1">
        <f t="array" ref="D19">VLOOKUP($B19,'Stammdaten_Artikel'!$A$4:$F$23,2,FALSE())</f>
        <v>Ordner A4</v>
      </c>
      <c r="E19" t="str" s="28" cm="1">
        <f t="array" ref="E19">VLOOKUP(B19,'Stammdaten_Artikel'!$A$4:$F$23,3,FALSE)</f>
        <v>Bueromaterial</v>
      </c>
      <c r="F19" t="str" s="29" cm="1">
        <f t="array" ref="F19">VLOOKUP(B19,'Stammdaten_Artikel'!$A$4:$F$23,4,FALSE)</f>
        <v>PaperPlus KG</v>
      </c>
      <c r="G19" s="30" cm="1">
        <f t="array" ref="G19">VLOOKUP($C19,$I$6:$J$9,2,TRUE())</f>
        <v>0</v>
      </c>
      <c r="H19" s="14"/>
      <c r="I19" s="8"/>
      <c r="J19" s="8"/>
    </row>
    <row r="20" ht="16.85" customHeight="1">
      <c r="A20" t="str" s="26" cm="1">
        <f t="array" ref="A20">'Bestellungen'!A18</f>
        <v>B015</v>
      </c>
      <c r="B20" t="str" s="26" cm="1">
        <f t="array" ref="B20">'Bestellungen'!B18</f>
        <v>A006</v>
      </c>
      <c r="C20" s="27" cm="1">
        <f t="array" ref="C20">'Bestellungen'!D18</f>
        <v>10</v>
      </c>
      <c r="D20" t="str" s="28" cm="1">
        <f t="array" ref="D20">VLOOKUP($B20,'Stammdaten_Artikel'!$A$4:$F$23,2,FALSE())</f>
        <v>Headset</v>
      </c>
      <c r="E20" t="str" s="28" cm="1">
        <f t="array" ref="E20">VLOOKUP(B20,'Stammdaten_Artikel'!$A$4:$F$23,3,FALSE)</f>
        <v>Elektronik</v>
      </c>
      <c r="F20" t="str" s="29" cm="1">
        <f t="array" ref="F20">VLOOKUP(B20,'Stammdaten_Artikel'!$A$4:$F$23,4,FALSE)</f>
        <v>TechSupply GmbH</v>
      </c>
      <c r="G20" s="30" cm="1">
        <f t="array" ref="G20">VLOOKUP($C20,$I$6:$J$9,2,TRUE())</f>
        <v>0.05</v>
      </c>
      <c r="H20" s="14"/>
      <c r="I20" s="8"/>
      <c r="J20" s="8"/>
    </row>
    <row r="21" ht="15.6" customHeight="1">
      <c r="A21" s="33"/>
      <c r="B21" t="s" s="34">
        <v>31</v>
      </c>
      <c r="C21" s="35"/>
      <c r="D21" s="32"/>
      <c r="E21" t="str" s="36" cm="1">
        <f t="array" ref="E21">VLOOKUP(B21,'Stammdaten_Artikel'!$A$4:$F$23,3,FALSE)</f>
        <v>Bueromaterial</v>
      </c>
      <c r="F21" t="str" s="37" cm="1">
        <f t="array" ref="F21">VLOOKUP(B21,'Stammdaten_Artikel'!$A$4:$F$23,4,FALSE)</f>
        <v>PaperPlus KG</v>
      </c>
      <c r="G21" s="38" cm="1">
        <f t="array" ref="G21">VLOOKUP($C21,$I$6:$J$9,2,TRUE())</f>
        <v>0</v>
      </c>
      <c r="H21" s="8"/>
      <c r="I21" s="8"/>
      <c r="J21" s="8"/>
    </row>
    <row r="22" ht="15.6" customHeight="1">
      <c r="A22" s="39"/>
      <c r="B22" t="s" s="34">
        <v>36</v>
      </c>
      <c r="C22" s="14"/>
      <c r="D22" s="8"/>
      <c r="E22" t="str" s="40" cm="1">
        <f t="array" ref="E22">VLOOKUP(B22,'Stammdaten_Artikel'!$A$4:$F$23,3,FALSE)</f>
        <v>Bueromaterial</v>
      </c>
      <c r="F22" t="str" s="41" cm="1">
        <f t="array" ref="F22">VLOOKUP(B22,'Stammdaten_Artikel'!$A$4:$F$23,4,FALSE)</f>
        <v>PaperPlus KG</v>
      </c>
      <c r="G22" s="42" cm="1">
        <f t="array" ref="G22">VLOOKUP($C22,$I$6:$J$9,2,TRUE())</f>
        <v>0</v>
      </c>
      <c r="H22" s="8"/>
      <c r="I22" s="8"/>
      <c r="J22" s="8"/>
    </row>
    <row r="23" ht="15.6" customHeight="1">
      <c r="A23" s="39"/>
      <c r="B23" t="s" s="34">
        <v>38</v>
      </c>
      <c r="C23" s="14"/>
      <c r="D23" s="8"/>
      <c r="E23" t="str" s="40" cm="1">
        <f t="array" ref="E23">VLOOKUP(B23,'Stammdaten_Artikel'!$A$4:$F$23,3,FALSE)</f>
        <v>Bueromaterial</v>
      </c>
      <c r="F23" t="str" s="41" cm="1">
        <f t="array" ref="F23">VLOOKUP(B23,'Stammdaten_Artikel'!$A$4:$F$23,4,FALSE)</f>
        <v>PaperPlus KG</v>
      </c>
      <c r="G23" s="42" cm="1">
        <f t="array" ref="G23">VLOOKUP($C23,$I$6:$J$9,2,TRUE())</f>
        <v>0</v>
      </c>
      <c r="H23" s="8"/>
      <c r="I23" s="8"/>
      <c r="J23" s="8"/>
    </row>
    <row r="24" ht="15.6" customHeight="1">
      <c r="A24" s="39"/>
      <c r="B24" t="s" s="34">
        <v>40</v>
      </c>
      <c r="C24" s="14"/>
      <c r="D24" s="8"/>
      <c r="E24" t="str" s="40" cm="1">
        <f t="array" ref="E24">VLOOKUP(B24,'Stammdaten_Artikel'!$A$4:$F$23,3,FALSE)</f>
        <v>Bueromaterial</v>
      </c>
      <c r="F24" t="str" s="41" cm="1">
        <f t="array" ref="F24">VLOOKUP(B24,'Stammdaten_Artikel'!$A$4:$F$23,4,FALSE)</f>
        <v>OfficeTech GmbH</v>
      </c>
      <c r="G24" s="42" cm="1">
        <f t="array" ref="G24">VLOOKUP($C24,$I$6:$J$9,2,TRUE())</f>
        <v>0</v>
      </c>
      <c r="H24" s="8"/>
      <c r="I24" s="8"/>
      <c r="J24" s="8"/>
    </row>
    <row r="25" ht="15.6" customHeight="1">
      <c r="A25" s="39"/>
      <c r="B25" t="s" s="34">
        <v>44</v>
      </c>
      <c r="C25" s="14"/>
      <c r="D25" s="8"/>
      <c r="E25" t="str" s="40" cm="1">
        <f t="array" ref="E25">VLOOKUP(B25,'Stammdaten_Artikel'!$A$4:$F$23,3,FALSE)</f>
        <v>Werkzeug</v>
      </c>
      <c r="F25" t="str" s="41" cm="1">
        <f t="array" ref="F25">VLOOKUP(B25,'Stammdaten_Artikel'!$A$4:$F$23,4,FALSE)</f>
        <v>WerkzeugWelt AG</v>
      </c>
      <c r="G25" s="42" cm="1">
        <f t="array" ref="G25">VLOOKUP($C25,$I$6:$J$9,2,TRUE())</f>
        <v>0</v>
      </c>
      <c r="H25" s="8"/>
      <c r="I25" s="8"/>
      <c r="J25" s="8"/>
    </row>
    <row r="26" ht="15.6" customHeight="1">
      <c r="A26" s="39"/>
      <c r="B26" t="s" s="34">
        <v>49</v>
      </c>
      <c r="C26" s="14"/>
      <c r="D26" s="8"/>
      <c r="E26" t="str" s="40" cm="1">
        <f t="array" ref="E26">VLOOKUP(B26,'Stammdaten_Artikel'!$A$4:$F$23,3,FALSE)</f>
        <v>Werkzeug</v>
      </c>
      <c r="F26" t="str" s="41" cm="1">
        <f t="array" ref="F26">VLOOKUP(B26,'Stammdaten_Artikel'!$A$4:$F$23,4,FALSE)</f>
        <v>WerkzeugWelt AG</v>
      </c>
      <c r="G26" s="42" cm="1">
        <f t="array" ref="G26">VLOOKUP($C26,$I$6:$J$9,2,TRUE())</f>
        <v>0</v>
      </c>
      <c r="H26" s="8"/>
      <c r="I26" s="8"/>
      <c r="J26" s="8"/>
    </row>
    <row r="27" ht="15.6" customHeight="1">
      <c r="A27" s="39"/>
      <c r="B27" t="s" s="34">
        <v>51</v>
      </c>
      <c r="C27" s="14"/>
      <c r="D27" s="8"/>
      <c r="E27" t="str" s="40" cm="1">
        <f t="array" ref="E27">VLOOKUP(B27,'Stammdaten_Artikel'!$A$4:$F$23,3,FALSE)</f>
        <v>Werkzeug</v>
      </c>
      <c r="F27" t="str" s="41" cm="1">
        <f t="array" ref="F27">VLOOKUP(B27,'Stammdaten_Artikel'!$A$4:$F$23,4,FALSE)</f>
        <v>SafetyFirst GmbH</v>
      </c>
      <c r="G27" s="42" cm="1">
        <f t="array" ref="G27">VLOOKUP($C27,$I$6:$J$9,2,TRUE())</f>
        <v>0</v>
      </c>
      <c r="H27" s="8"/>
      <c r="I27" s="8"/>
      <c r="J27" s="8"/>
    </row>
    <row r="28" ht="15.6" customHeight="1">
      <c r="A28" s="39"/>
      <c r="B28" t="s" s="34">
        <v>54</v>
      </c>
      <c r="C28" s="14"/>
      <c r="D28" s="8"/>
      <c r="E28" t="str" s="40" cm="1">
        <f t="array" ref="E28">VLOOKUP(B28,'Stammdaten_Artikel'!$A$4:$F$23,3,FALSE)</f>
        <v>Werkzeug</v>
      </c>
      <c r="F28" t="str" s="41" cm="1">
        <f t="array" ref="F28">VLOOKUP(B28,'Stammdaten_Artikel'!$A$4:$F$23,4,FALSE)</f>
        <v>SafetyFirst GmbH</v>
      </c>
      <c r="G28" s="42" cm="1">
        <f t="array" ref="G28">VLOOKUP($C28,$I$6:$J$9,2,TRUE())</f>
        <v>0</v>
      </c>
      <c r="H28" s="8"/>
      <c r="I28" s="8"/>
      <c r="J28" s="8"/>
    </row>
    <row r="29" ht="15.6" customHeight="1">
      <c r="A29" s="39"/>
      <c r="B29" t="s" s="34">
        <v>56</v>
      </c>
      <c r="C29" s="14"/>
      <c r="D29" s="8"/>
      <c r="E29" t="str" s="40" cm="1">
        <f t="array" ref="E29">VLOOKUP(B29,'Stammdaten_Artikel'!$A$4:$F$23,3,FALSE)</f>
        <v>Verpackung</v>
      </c>
      <c r="F29" t="str" s="41" cm="1">
        <f t="array" ref="F29">VLOOKUP(B29,'Stammdaten_Artikel'!$A$4:$F$23,4,FALSE)</f>
        <v>PackIt GmbH</v>
      </c>
      <c r="G29" s="42" cm="1">
        <f t="array" ref="G29">VLOOKUP($C29,$I$6:$J$9,2,TRUE())</f>
        <v>0</v>
      </c>
      <c r="H29" s="8"/>
      <c r="I29" s="8"/>
      <c r="J29" s="8"/>
    </row>
    <row r="30" ht="15.6" customHeight="1">
      <c r="A30" s="39"/>
      <c r="B30" t="s" s="34">
        <v>61</v>
      </c>
      <c r="C30" s="14"/>
      <c r="D30" s="8"/>
      <c r="E30" t="str" s="40" cm="1">
        <f t="array" ref="E30">VLOOKUP(B30,'Stammdaten_Artikel'!$A$4:$F$23,3,FALSE)</f>
        <v>Verpackung</v>
      </c>
      <c r="F30" t="str" s="41" cm="1">
        <f t="array" ref="F30">VLOOKUP(B30,'Stammdaten_Artikel'!$A$4:$F$23,4,FALSE)</f>
        <v>PackIt GmbH</v>
      </c>
      <c r="G30" s="42" cm="1">
        <f t="array" ref="G30">VLOOKUP($C30,$I$6:$J$9,2,TRUE())</f>
        <v>0</v>
      </c>
      <c r="H30" s="8"/>
      <c r="I30" s="8"/>
      <c r="J30" s="8"/>
    </row>
    <row r="31" ht="15.6" customHeight="1">
      <c r="A31" s="39"/>
      <c r="B31" t="s" s="34">
        <v>63</v>
      </c>
      <c r="C31" s="14"/>
      <c r="D31" s="8"/>
      <c r="E31" t="str" s="40" cm="1">
        <f t="array" ref="E31">VLOOKUP(B31,'Stammdaten_Artikel'!$A$4:$F$23,3,FALSE)</f>
        <v>Verpackung</v>
      </c>
      <c r="F31" t="str" s="41" cm="1">
        <f t="array" ref="F31">VLOOKUP(B31,'Stammdaten_Artikel'!$A$4:$F$23,4,FALSE)</f>
        <v>PackIt GmbH</v>
      </c>
      <c r="G31" s="42" cm="1">
        <f t="array" ref="G31">VLOOKUP($C31,$I$6:$J$9,2,TRUE())</f>
        <v>0</v>
      </c>
      <c r="H31" s="8"/>
      <c r="I31" s="8"/>
      <c r="J31" s="8"/>
    </row>
    <row r="32" ht="15.6" customHeight="1">
      <c r="A32" s="39"/>
      <c r="B32" t="s" s="34">
        <v>65</v>
      </c>
      <c r="C32" s="14"/>
      <c r="D32" s="8"/>
      <c r="E32" t="str" s="40" cm="1">
        <f t="array" ref="E32">VLOOKUP(B32,'Stammdaten_Artikel'!$A$4:$F$23,3,FALSE)</f>
        <v>Verpackung</v>
      </c>
      <c r="F32" t="str" s="41" cm="1">
        <f t="array" ref="F32">VLOOKUP(B32,'Stammdaten_Artikel'!$A$4:$F$23,4,FALSE)</f>
        <v>PackIt GmbH</v>
      </c>
      <c r="G32" s="42" cm="1">
        <f t="array" ref="G32">VLOOKUP($C32,$I$6:$J$9,2,TRUE())</f>
        <v>0</v>
      </c>
      <c r="H32" s="8"/>
      <c r="I32" s="8"/>
      <c r="J32" s="8"/>
    </row>
    <row r="33" ht="15.6" customHeight="1">
      <c r="A33" s="39"/>
      <c r="B33" t="s" s="34">
        <v>68</v>
      </c>
      <c r="C33" s="14"/>
      <c r="D33" s="8"/>
      <c r="E33" t="str" s="40" cm="1">
        <f t="array" ref="E33">VLOOKUP(B33,'Stammdaten_Artikel'!$A$4:$F$23,3,FALSE)</f>
        <v>IT-Zubehoer</v>
      </c>
      <c r="F33" t="str" s="41" cm="1">
        <f t="array" ref="F33">VLOOKUP(B33,'Stammdaten_Artikel'!$A$4:$F$23,4,FALSE)</f>
        <v>KabelPro AG</v>
      </c>
      <c r="G33" s="42" cm="1">
        <f t="array" ref="G33">VLOOKUP($C33,$I$6:$J$9,2,TRUE())</f>
        <v>0</v>
      </c>
      <c r="H33" s="8"/>
      <c r="I33" s="8"/>
      <c r="J33" s="8"/>
    </row>
    <row r="34" ht="15.6" customHeight="1">
      <c r="A34" s="39"/>
      <c r="B34" t="s" s="34">
        <v>70</v>
      </c>
      <c r="C34" s="14"/>
      <c r="D34" s="8"/>
      <c r="E34" t="str" s="40" cm="1">
        <f t="array" ref="E34">VLOOKUP(B34,'Stammdaten_Artikel'!$A$4:$F$23,3,FALSE)</f>
        <v>Elektronik</v>
      </c>
      <c r="F34" t="str" s="41" cm="1">
        <f t="array" ref="F34">VLOOKUP(B34,'Stammdaten_Artikel'!$A$4:$F$23,4,FALSE)</f>
        <v>TechSupply GmbH</v>
      </c>
      <c r="G34" s="42" cm="1">
        <f t="array" ref="G34">VLOOKUP($C34,$I$6:$J$9,2,TRUE())</f>
        <v>0</v>
      </c>
      <c r="H34" s="8"/>
      <c r="I34" s="8"/>
      <c r="J34" s="8"/>
    </row>
    <row r="35" ht="15.6" customHeight="1">
      <c r="A35" s="8"/>
      <c r="B35" s="32"/>
      <c r="C35" s="8"/>
      <c r="D35" s="8"/>
      <c r="E35" s="8"/>
      <c r="F35" s="8"/>
      <c r="G35" s="8"/>
      <c r="H35" s="8"/>
      <c r="I35" s="8"/>
      <c r="J35" s="8"/>
    </row>
    <row r="36" ht="15.6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34.5" customHeight="1">
      <c r="A37" s="43"/>
      <c r="B37" s="44"/>
      <c r="C37" s="44"/>
      <c r="D37" s="44"/>
      <c r="E37" s="44"/>
      <c r="F37" s="44"/>
      <c r="G37" s="44"/>
      <c r="H37" s="45"/>
      <c r="I37" s="8"/>
      <c r="J37" s="8"/>
    </row>
    <row r="38" ht="15.6" customHeight="1">
      <c r="A38" s="46"/>
      <c r="B38" s="47"/>
      <c r="C38" s="47"/>
      <c r="D38" s="47"/>
      <c r="E38" s="47"/>
      <c r="F38" s="47"/>
      <c r="G38" s="47"/>
      <c r="H38" s="48"/>
      <c r="I38" s="8"/>
      <c r="J38" s="8"/>
    </row>
    <row r="39" ht="52.65" customHeight="1">
      <c r="A39" s="46"/>
      <c r="B39" s="47"/>
      <c r="C39" s="47"/>
      <c r="D39" s="47"/>
      <c r="E39" s="47"/>
      <c r="F39" s="47"/>
      <c r="G39" s="47"/>
      <c r="H39" s="48"/>
      <c r="I39" s="8"/>
      <c r="J39" s="8"/>
    </row>
    <row r="40" ht="19.85" customHeight="1">
      <c r="A40" s="46"/>
      <c r="B40" s="47"/>
      <c r="C40" s="47"/>
      <c r="D40" s="47"/>
      <c r="E40" s="47"/>
      <c r="F40" s="47"/>
      <c r="G40" s="47"/>
      <c r="H40" s="48"/>
      <c r="I40" s="8"/>
      <c r="J40" s="8"/>
    </row>
    <row r="41" ht="15.6" customHeight="1">
      <c r="A41" s="46"/>
      <c r="B41" s="47"/>
      <c r="C41" s="47"/>
      <c r="D41" s="47"/>
      <c r="E41" s="47"/>
      <c r="F41" s="47"/>
      <c r="G41" s="47"/>
      <c r="H41" s="48"/>
      <c r="I41" s="8"/>
      <c r="J41" s="8"/>
    </row>
    <row r="42" ht="15.6" customHeight="1">
      <c r="A42" s="46"/>
      <c r="B42" s="47"/>
      <c r="C42" s="47"/>
      <c r="D42" s="47"/>
      <c r="E42" s="47"/>
      <c r="F42" s="47"/>
      <c r="G42" s="47"/>
      <c r="H42" s="48"/>
      <c r="I42" s="8"/>
      <c r="J42" s="8"/>
    </row>
    <row r="43" ht="15.6" customHeight="1">
      <c r="A43" s="46"/>
      <c r="B43" s="47"/>
      <c r="C43" s="47"/>
      <c r="D43" s="47"/>
      <c r="E43" s="47"/>
      <c r="F43" s="47"/>
      <c r="G43" s="47"/>
      <c r="H43" s="48"/>
      <c r="I43" s="8"/>
      <c r="J43" s="8"/>
    </row>
    <row r="44" ht="15.6" customHeight="1">
      <c r="A44" s="46"/>
      <c r="B44" s="47"/>
      <c r="C44" s="47"/>
      <c r="D44" s="47"/>
      <c r="E44" s="47"/>
      <c r="F44" s="47"/>
      <c r="G44" s="47"/>
      <c r="H44" s="48"/>
      <c r="I44" s="8"/>
      <c r="J44" s="8"/>
    </row>
    <row r="45" ht="15.6" customHeight="1">
      <c r="A45" s="46"/>
      <c r="B45" s="47"/>
      <c r="C45" s="47"/>
      <c r="D45" s="47"/>
      <c r="E45" s="47"/>
      <c r="F45" s="47"/>
      <c r="G45" s="47"/>
      <c r="H45" s="48"/>
      <c r="I45" s="8"/>
      <c r="J45" s="8"/>
    </row>
    <row r="46" ht="15.6" customHeight="1">
      <c r="A46" s="46"/>
      <c r="B46" s="47"/>
      <c r="C46" s="47"/>
      <c r="D46" s="47"/>
      <c r="E46" s="47"/>
      <c r="F46" s="47"/>
      <c r="G46" s="47"/>
      <c r="H46" s="48"/>
      <c r="I46" s="8"/>
      <c r="J46" s="8"/>
    </row>
    <row r="47" ht="19.1" customHeight="1">
      <c r="A47" s="46"/>
      <c r="B47" s="47"/>
      <c r="C47" s="47"/>
      <c r="D47" s="47"/>
      <c r="E47" s="47"/>
      <c r="F47" s="47"/>
      <c r="G47" s="47"/>
      <c r="H47" s="48"/>
      <c r="I47" s="8"/>
      <c r="J47" s="8"/>
    </row>
    <row r="48" ht="17.25" customHeight="1">
      <c r="A48" s="46"/>
      <c r="B48" s="47"/>
      <c r="C48" s="47"/>
      <c r="D48" s="47"/>
      <c r="E48" s="47"/>
      <c r="F48" s="47"/>
      <c r="G48" s="47"/>
      <c r="H48" s="48"/>
      <c r="I48" s="8"/>
      <c r="J48" s="8"/>
    </row>
    <row r="49" ht="15.6" customHeight="1">
      <c r="A49" s="46"/>
      <c r="B49" s="47"/>
      <c r="C49" s="47"/>
      <c r="D49" s="47"/>
      <c r="E49" s="47"/>
      <c r="F49" s="47"/>
      <c r="G49" s="47"/>
      <c r="H49" s="48"/>
      <c r="I49" s="8"/>
      <c r="J49" s="8"/>
    </row>
    <row r="50" ht="16.85" customHeight="1">
      <c r="A50" s="46"/>
      <c r="B50" s="47"/>
      <c r="C50" s="47"/>
      <c r="D50" s="47"/>
      <c r="E50" s="47"/>
      <c r="F50" s="47"/>
      <c r="G50" s="47"/>
      <c r="H50" s="48"/>
      <c r="I50" s="8"/>
      <c r="J50" s="8"/>
    </row>
    <row r="51" ht="16.85" customHeight="1">
      <c r="A51" s="46"/>
      <c r="B51" s="47"/>
      <c r="C51" s="47"/>
      <c r="D51" s="47"/>
      <c r="E51" s="47"/>
      <c r="F51" s="47"/>
      <c r="G51" s="47"/>
      <c r="H51" s="48"/>
      <c r="I51" s="8"/>
      <c r="J51" s="8"/>
    </row>
    <row r="52" ht="16.85" customHeight="1">
      <c r="A52" s="46"/>
      <c r="B52" s="47"/>
      <c r="C52" s="47"/>
      <c r="D52" s="47"/>
      <c r="E52" s="47"/>
      <c r="F52" s="47"/>
      <c r="G52" s="47"/>
      <c r="H52" s="48"/>
      <c r="I52" s="8"/>
      <c r="J52" s="8"/>
    </row>
    <row r="53" ht="16.85" customHeight="1">
      <c r="A53" s="46"/>
      <c r="B53" s="47"/>
      <c r="C53" s="47"/>
      <c r="D53" s="47"/>
      <c r="E53" s="47"/>
      <c r="F53" s="47"/>
      <c r="G53" s="47"/>
      <c r="H53" s="48"/>
      <c r="I53" s="8"/>
      <c r="J53" s="8"/>
    </row>
    <row r="54" ht="15.6" customHeight="1">
      <c r="A54" s="46"/>
      <c r="B54" s="47"/>
      <c r="C54" s="47"/>
      <c r="D54" s="47"/>
      <c r="E54" s="47"/>
      <c r="F54" s="47"/>
      <c r="G54" s="47"/>
      <c r="H54" s="48"/>
      <c r="I54" s="8"/>
      <c r="J54" s="8"/>
    </row>
    <row r="55" ht="16.85" customHeight="1">
      <c r="A55" s="46"/>
      <c r="B55" s="47"/>
      <c r="C55" s="47"/>
      <c r="D55" s="47"/>
      <c r="E55" s="47"/>
      <c r="F55" s="47"/>
      <c r="G55" s="47"/>
      <c r="H55" s="48"/>
      <c r="I55" s="8"/>
      <c r="J55" s="8"/>
    </row>
    <row r="56" ht="16.85" customHeight="1">
      <c r="A56" s="46"/>
      <c r="B56" s="47"/>
      <c r="C56" s="47"/>
      <c r="D56" s="47"/>
      <c r="E56" s="47"/>
      <c r="F56" s="47"/>
      <c r="G56" s="47"/>
      <c r="H56" s="48"/>
      <c r="I56" s="8"/>
      <c r="J56" s="8"/>
    </row>
    <row r="57" ht="16.85" customHeight="1">
      <c r="A57" s="49"/>
      <c r="B57" s="50"/>
      <c r="C57" s="50"/>
      <c r="D57" s="50"/>
      <c r="E57" s="50"/>
      <c r="F57" s="50"/>
      <c r="G57" s="50"/>
      <c r="H57" s="51"/>
      <c r="I57" s="8"/>
      <c r="J57" s="8"/>
    </row>
  </sheetData>
  <mergeCells count="2">
    <mergeCell ref="A37:H37"/>
    <mergeCell ref="A48:H4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H33"/>
  <sheetViews>
    <sheetView workbookViewId="0" showGridLines="0" defaultGridColor="1"/>
  </sheetViews>
  <sheetFormatPr defaultColWidth="8.66667" defaultRowHeight="15" customHeight="1" outlineLevelRow="0" outlineLevelCol="0"/>
  <cols>
    <col min="1" max="1" width="36.6719" style="52" customWidth="1"/>
    <col min="2" max="2" width="14.8516" style="52" customWidth="1"/>
    <col min="3" max="3" width="34.3516" style="52" customWidth="1"/>
    <col min="4" max="4" width="36.6719" style="52" customWidth="1"/>
    <col min="5" max="5" width="70.5" style="52" customWidth="1"/>
    <col min="6" max="8" width="10" style="52" customWidth="1"/>
    <col min="9" max="16384" width="8.67188" style="52" customWidth="1"/>
  </cols>
  <sheetData>
    <row r="1" ht="21.5" customHeight="1">
      <c r="A1" t="s" s="7">
        <v>211</v>
      </c>
      <c r="B1" s="53"/>
      <c r="C1" s="53"/>
      <c r="D1" s="53"/>
      <c r="E1" s="53"/>
      <c r="F1" s="53"/>
      <c r="G1" s="53"/>
      <c r="H1" s="53"/>
    </row>
    <row r="2" ht="15.75" customHeight="1">
      <c r="A2" s="53"/>
      <c r="B2" s="53"/>
      <c r="C2" s="53"/>
      <c r="D2" s="53"/>
      <c r="E2" s="53"/>
      <c r="F2" s="53"/>
      <c r="G2" s="53"/>
      <c r="H2" s="53"/>
    </row>
    <row r="3" ht="19.25" customHeight="1">
      <c r="A3" t="s" s="24">
        <v>212</v>
      </c>
      <c r="B3" s="53"/>
      <c r="C3" s="53"/>
      <c r="D3" s="53"/>
      <c r="E3" s="53"/>
      <c r="F3" s="53"/>
      <c r="G3" s="53"/>
      <c r="H3" s="53"/>
    </row>
    <row r="4" ht="15.75" customHeight="1">
      <c r="A4" s="54"/>
      <c r="B4" s="54"/>
      <c r="C4" s="54"/>
      <c r="D4" s="54"/>
      <c r="E4" s="54"/>
      <c r="F4" s="53"/>
      <c r="G4" s="53"/>
      <c r="H4" s="53"/>
    </row>
    <row r="5" ht="17" customHeight="1">
      <c r="A5" t="s" s="10">
        <v>105</v>
      </c>
      <c r="B5" t="s" s="10">
        <v>7</v>
      </c>
      <c r="C5" t="s" s="10">
        <v>107</v>
      </c>
      <c r="D5" t="s" s="10">
        <v>213</v>
      </c>
      <c r="E5" t="s" s="10">
        <v>214</v>
      </c>
      <c r="F5" s="55"/>
      <c r="G5" s="53"/>
      <c r="H5" s="53"/>
    </row>
    <row r="6" ht="17" customHeight="1">
      <c r="A6" t="str" s="26" cm="1">
        <f t="array" ref="A6">'Bestellungen'!A4</f>
        <v>B001</v>
      </c>
      <c r="B6" t="str" s="26" cm="1">
        <f t="array" ref="B6">'Bestellungen'!B4</f>
        <v>A004</v>
      </c>
      <c r="C6" s="27" cm="1">
        <f t="array" ref="C6">'Bestellungen'!D4</f>
        <v>12</v>
      </c>
      <c r="D6" t="str" s="28" cm="1">
        <f t="array" ref="D6">INDEX('Stammdaten_Artikel'!$B$4:$B$23,MATCH($B6,'Stammdaten_Artikel'!$A$4:$A$23,0))</f>
        <v>Maus optisch</v>
      </c>
      <c r="E6" t="str" s="28" cm="1">
        <f t="array" ref="E6">INDEX('Stammdaten_Artikel'!$C$4:$C$23,MATCH(B6,'Stammdaten_Artikel'!$A$4:$A$23,0))</f>
        <v>Elektronik</v>
      </c>
      <c r="F6" s="55"/>
      <c r="G6" s="53"/>
      <c r="H6" s="53"/>
    </row>
    <row r="7" ht="17" customHeight="1">
      <c r="A7" t="str" s="26" cm="1">
        <f t="array" ref="A7">'Bestellungen'!A5</f>
        <v>B002</v>
      </c>
      <c r="B7" t="str" s="26" cm="1">
        <f t="array" ref="B7">'Bestellungen'!B5</f>
        <v>A004</v>
      </c>
      <c r="C7" s="27" cm="1">
        <f t="array" ref="C7">'Bestellungen'!D5</f>
        <v>5</v>
      </c>
      <c r="D7" t="str" s="28" cm="1">
        <f t="array" ref="D7">INDEX('Stammdaten_Artikel'!$B$4:$B$23,MATCH($B7,'Stammdaten_Artikel'!$A$4:$A$23,0))</f>
        <v>Maus optisch</v>
      </c>
      <c r="E7" t="str" s="28" cm="1">
        <f t="array" ref="E7">INDEX('Stammdaten_Artikel'!$C$4:$C$23,MATCH(B7,'Stammdaten_Artikel'!$A$4:$A$23,0))</f>
        <v>Elektronik</v>
      </c>
      <c r="F7" s="55"/>
      <c r="G7" s="53"/>
      <c r="H7" s="53"/>
    </row>
    <row r="8" ht="17" customHeight="1">
      <c r="A8" t="str" s="26" cm="1">
        <f t="array" ref="A8">'Bestellungen'!A6</f>
        <v>B003</v>
      </c>
      <c r="B8" t="str" s="26" cm="1">
        <f t="array" ref="B8">'Bestellungen'!B6</f>
        <v>A001</v>
      </c>
      <c r="C8" s="27" cm="1">
        <f t="array" ref="C8">'Bestellungen'!D6</f>
        <v>5</v>
      </c>
      <c r="D8" t="str" s="28" cm="1">
        <f t="array" ref="D8">INDEX('Stammdaten_Artikel'!$B$4:$B$23,MATCH($B8,'Stammdaten_Artikel'!$A$4:$A$23,0))</f>
        <v>Laptop 14 Zoll</v>
      </c>
      <c r="E8" t="str" s="28" cm="1">
        <f t="array" ref="E8">INDEX('Stammdaten_Artikel'!$C$4:$C$23,MATCH(B8,'Stammdaten_Artikel'!$A$4:$A$23,0))</f>
        <v>Elektronik</v>
      </c>
      <c r="F8" s="55"/>
      <c r="G8" s="53"/>
      <c r="H8" s="53"/>
    </row>
    <row r="9" ht="17" customHeight="1">
      <c r="A9" t="str" s="26" cm="1">
        <f t="array" ref="A9">'Bestellungen'!A7</f>
        <v>B004</v>
      </c>
      <c r="B9" t="str" s="26" cm="1">
        <f t="array" ref="B9">'Bestellungen'!B7</f>
        <v>A020</v>
      </c>
      <c r="C9" s="27" cm="1">
        <f t="array" ref="C9">'Bestellungen'!D7</f>
        <v>30</v>
      </c>
      <c r="D9" t="str" s="28" cm="1">
        <f t="array" ref="D9">INDEX('Stammdaten_Artikel'!$B$4:$B$23,MATCH($B9,'Stammdaten_Artikel'!$A$4:$A$23,0))</f>
        <v>Webcam</v>
      </c>
      <c r="E9" t="str" s="28" cm="1">
        <f t="array" ref="E9">INDEX('Stammdaten_Artikel'!$C$4:$C$23,MATCH(B9,'Stammdaten_Artikel'!$A$4:$A$23,0))</f>
        <v>Elektronik</v>
      </c>
      <c r="F9" s="55"/>
      <c r="G9" s="53"/>
      <c r="H9" s="53"/>
    </row>
    <row r="10" ht="17" customHeight="1">
      <c r="A10" t="str" s="26" cm="1">
        <f t="array" ref="A10">'Bestellungen'!A8</f>
        <v>B005</v>
      </c>
      <c r="B10" t="str" s="26" cm="1">
        <f t="array" ref="B10">'Bestellungen'!B8</f>
        <v>A018</v>
      </c>
      <c r="C10" s="27" cm="1">
        <f t="array" ref="C10">'Bestellungen'!D8</f>
        <v>10</v>
      </c>
      <c r="D10" t="str" s="28" cm="1">
        <f t="array" ref="D10">INDEX('Stammdaten_Artikel'!$B$4:$B$23,MATCH($B10,'Stammdaten_Artikel'!$A$4:$A$23,0))</f>
        <v>Luftpolsterfolie</v>
      </c>
      <c r="E10" t="str" s="28" cm="1">
        <f t="array" ref="E10">INDEX('Stammdaten_Artikel'!$C$4:$C$23,MATCH(B10,'Stammdaten_Artikel'!$A$4:$A$23,0))</f>
        <v>Verpackung</v>
      </c>
      <c r="F10" s="55"/>
      <c r="G10" s="53"/>
      <c r="H10" s="53"/>
    </row>
    <row r="11" ht="17" customHeight="1">
      <c r="A11" t="str" s="26" cm="1">
        <f t="array" ref="A11">'Bestellungen'!A9</f>
        <v>B006</v>
      </c>
      <c r="B11" t="str" s="26" cm="1">
        <f t="array" ref="B11">'Bestellungen'!B9</f>
        <v>A009</v>
      </c>
      <c r="C11" s="27" cm="1">
        <f t="array" ref="C11">'Bestellungen'!D9</f>
        <v>8</v>
      </c>
      <c r="D11" t="str" s="28" cm="1">
        <f t="array" ref="D11">INDEX('Stammdaten_Artikel'!$B$4:$B$23,MATCH($B11,'Stammdaten_Artikel'!$A$4:$A$23,0))</f>
        <v>Ordner A4</v>
      </c>
      <c r="E11" t="str" s="28" cm="1">
        <f t="array" ref="E11">INDEX('Stammdaten_Artikel'!$C$4:$C$23,MATCH(B11,'Stammdaten_Artikel'!$A$4:$A$23,0))</f>
        <v>Bueromaterial</v>
      </c>
      <c r="F11" s="55"/>
      <c r="G11" s="53"/>
      <c r="H11" s="53"/>
    </row>
    <row r="12" ht="17" customHeight="1">
      <c r="A12" t="str" s="26" cm="1">
        <f t="array" ref="A12">'Bestellungen'!A10</f>
        <v>B007</v>
      </c>
      <c r="B12" t="str" s="26" cm="1">
        <f t="array" ref="B12">'Bestellungen'!B10</f>
        <v>A005</v>
      </c>
      <c r="C12" s="27" cm="1">
        <f t="array" ref="C12">'Bestellungen'!D10</f>
        <v>15</v>
      </c>
      <c r="D12" t="str" s="28" cm="1">
        <f t="array" ref="D12">INDEX('Stammdaten_Artikel'!$B$4:$B$23,MATCH($B12,'Stammdaten_Artikel'!$A$4:$A$23,0))</f>
        <v>USB-C Kabel</v>
      </c>
      <c r="E12" t="str" s="28" cm="1">
        <f t="array" ref="E12">INDEX('Stammdaten_Artikel'!$C$4:$C$23,MATCH(B12,'Stammdaten_Artikel'!$A$4:$A$23,0))</f>
        <v>IT-Zubehoer</v>
      </c>
      <c r="F12" s="55"/>
      <c r="G12" s="53"/>
      <c r="H12" s="53"/>
    </row>
    <row r="13" ht="17" customHeight="1">
      <c r="A13" t="str" s="26" cm="1">
        <f t="array" ref="A13">'Bestellungen'!A11</f>
        <v>B008</v>
      </c>
      <c r="B13" t="str" s="26" cm="1">
        <f t="array" ref="B13">'Bestellungen'!B11</f>
        <v>A004</v>
      </c>
      <c r="C13" s="27" cm="1">
        <f t="array" ref="C13">'Bestellungen'!D11</f>
        <v>15</v>
      </c>
      <c r="D13" t="str" s="28" cm="1">
        <f t="array" ref="D13">INDEX('Stammdaten_Artikel'!$B$4:$B$23,MATCH($B13,'Stammdaten_Artikel'!$A$4:$A$23,0))</f>
        <v>Maus optisch</v>
      </c>
      <c r="E13" t="str" s="28" cm="1">
        <f t="array" ref="E13">INDEX('Stammdaten_Artikel'!$C$4:$C$23,MATCH(B13,'Stammdaten_Artikel'!$A$4:$A$23,0))</f>
        <v>Elektronik</v>
      </c>
      <c r="F13" s="55"/>
      <c r="G13" s="53"/>
      <c r="H13" s="53"/>
    </row>
    <row r="14" ht="17" customHeight="1">
      <c r="A14" t="str" s="26" cm="1">
        <f t="array" ref="A14">'Bestellungen'!A12</f>
        <v>B009</v>
      </c>
      <c r="B14" t="str" s="26" cm="1">
        <f t="array" ref="B14">'Bestellungen'!B12</f>
        <v>A015</v>
      </c>
      <c r="C14" s="27" cm="1">
        <f t="array" ref="C14">'Bestellungen'!D12</f>
        <v>5</v>
      </c>
      <c r="D14" t="str" s="28" cm="1">
        <f t="array" ref="D14">INDEX('Stammdaten_Artikel'!$B$4:$B$23,MATCH($B14,'Stammdaten_Artikel'!$A$4:$A$23,0))</f>
        <v>Kartonbox klein</v>
      </c>
      <c r="E14" t="str" s="28" cm="1">
        <f t="array" ref="E14">INDEX('Stammdaten_Artikel'!$C$4:$C$23,MATCH(B14,'Stammdaten_Artikel'!$A$4:$A$23,0))</f>
        <v>Verpackung</v>
      </c>
      <c r="F14" s="55"/>
      <c r="G14" s="53"/>
      <c r="H14" s="53"/>
    </row>
    <row r="15" ht="17" customHeight="1">
      <c r="A15" t="str" s="26" cm="1">
        <f t="array" ref="A15">'Bestellungen'!A13</f>
        <v>B010</v>
      </c>
      <c r="B15" t="str" s="26" cm="1">
        <f t="array" ref="B15">'Bestellungen'!B13</f>
        <v>A020</v>
      </c>
      <c r="C15" s="27" cm="1">
        <f t="array" ref="C15">'Bestellungen'!D13</f>
        <v>40</v>
      </c>
      <c r="D15" t="str" s="28" cm="1">
        <f t="array" ref="D15">INDEX('Stammdaten_Artikel'!$B$4:$B$23,MATCH($B15,'Stammdaten_Artikel'!$A$4:$A$23,0))</f>
        <v>Webcam</v>
      </c>
      <c r="E15" t="str" s="28" cm="1">
        <f t="array" ref="E15">INDEX('Stammdaten_Artikel'!$C$4:$C$23,MATCH(B15,'Stammdaten_Artikel'!$A$4:$A$23,0))</f>
        <v>Elektronik</v>
      </c>
      <c r="F15" s="55"/>
      <c r="G15" s="53"/>
      <c r="H15" s="53"/>
    </row>
    <row r="16" ht="17" customHeight="1">
      <c r="A16" t="str" s="26" cm="1">
        <f t="array" ref="A16">'Bestellungen'!A14</f>
        <v>B011</v>
      </c>
      <c r="B16" t="str" s="26" cm="1">
        <f t="array" ref="B16">'Bestellungen'!B14</f>
        <v>A003</v>
      </c>
      <c r="C16" s="27" cm="1">
        <f t="array" ref="C16">'Bestellungen'!D14</f>
        <v>50</v>
      </c>
      <c r="D16" t="str" s="28" cm="1">
        <f t="array" ref="D16">INDEX('Stammdaten_Artikel'!$B$4:$B$23,MATCH($B16,'Stammdaten_Artikel'!$A$4:$A$23,0))</f>
        <v>Tastatur kabellos</v>
      </c>
      <c r="E16" t="str" s="28" cm="1">
        <f t="array" ref="E16">INDEX('Stammdaten_Artikel'!$C$4:$C$23,MATCH(B16,'Stammdaten_Artikel'!$A$4:$A$23,0))</f>
        <v>Elektronik</v>
      </c>
      <c r="F16" s="55"/>
      <c r="G16" s="53"/>
      <c r="H16" s="53"/>
    </row>
    <row r="17" ht="17" customHeight="1">
      <c r="A17" t="str" s="26" cm="1">
        <f t="array" ref="A17">'Bestellungen'!A15</f>
        <v>B012</v>
      </c>
      <c r="B17" t="str" s="26" cm="1">
        <f t="array" ref="B17">'Bestellungen'!B15</f>
        <v>A008</v>
      </c>
      <c r="C17" s="27" cm="1">
        <f t="array" ref="C17">'Bestellungen'!D15</f>
        <v>20</v>
      </c>
      <c r="D17" t="str" s="28" cm="1">
        <f t="array" ref="D17">INDEX('Stammdaten_Artikel'!$B$4:$B$23,MATCH($B17,'Stammdaten_Artikel'!$A$4:$A$23,0))</f>
        <v>Kugelschreiber</v>
      </c>
      <c r="E17" t="str" s="28" cm="1">
        <f t="array" ref="E17">INDEX('Stammdaten_Artikel'!$C$4:$C$23,MATCH(B17,'Stammdaten_Artikel'!$A$4:$A$23,0))</f>
        <v>Bueromaterial</v>
      </c>
      <c r="F17" s="55"/>
      <c r="G17" s="53"/>
      <c r="H17" s="53"/>
    </row>
    <row r="18" ht="17" customHeight="1">
      <c r="A18" t="str" s="26" cm="1">
        <f t="array" ref="A18">'Bestellungen'!A16</f>
        <v>B013</v>
      </c>
      <c r="B18" t="str" s="26" cm="1">
        <f t="array" ref="B18">'Bestellungen'!B16</f>
        <v>A006</v>
      </c>
      <c r="C18" s="27" cm="1">
        <f t="array" ref="C18">'Bestellungen'!D16</f>
        <v>15</v>
      </c>
      <c r="D18" t="str" s="28" cm="1">
        <f t="array" ref="D18">INDEX('Stammdaten_Artikel'!$B$4:$B$23,MATCH($B18,'Stammdaten_Artikel'!$A$4:$A$23,0))</f>
        <v>Headset</v>
      </c>
      <c r="E18" t="str" s="28" cm="1">
        <f t="array" ref="E18">INDEX('Stammdaten_Artikel'!$C$4:$C$23,MATCH(B18,'Stammdaten_Artikel'!$A$4:$A$23,0))</f>
        <v>Elektronik</v>
      </c>
      <c r="F18" s="55"/>
      <c r="G18" s="53"/>
      <c r="H18" s="53"/>
    </row>
    <row r="19" ht="17" customHeight="1">
      <c r="A19" t="str" s="26" cm="1">
        <f t="array" ref="A19">'Bestellungen'!A17</f>
        <v>B014</v>
      </c>
      <c r="B19" t="str" s="26" cm="1">
        <f t="array" ref="B19">'Bestellungen'!B17</f>
        <v>A009</v>
      </c>
      <c r="C19" s="27" cm="1">
        <f t="array" ref="C19">'Bestellungen'!D17</f>
        <v>5</v>
      </c>
      <c r="D19" t="str" s="28" cm="1">
        <f t="array" ref="D19">INDEX('Stammdaten_Artikel'!$B$4:$B$23,MATCH($B19,'Stammdaten_Artikel'!$A$4:$A$23,0))</f>
        <v>Ordner A4</v>
      </c>
      <c r="E19" t="str" s="28" cm="1">
        <f t="array" ref="E19">INDEX('Stammdaten_Artikel'!$C$4:$C$23,MATCH(B19,'Stammdaten_Artikel'!$A$4:$A$23,0))</f>
        <v>Bueromaterial</v>
      </c>
      <c r="F19" s="55"/>
      <c r="G19" s="53"/>
      <c r="H19" s="53"/>
    </row>
    <row r="20" ht="17" customHeight="1">
      <c r="A20" t="str" s="26" cm="1">
        <f t="array" ref="A20">'Bestellungen'!A18</f>
        <v>B015</v>
      </c>
      <c r="B20" t="str" s="26" cm="1">
        <f t="array" ref="B20">'Bestellungen'!B18</f>
        <v>A006</v>
      </c>
      <c r="C20" s="27" cm="1">
        <f t="array" ref="C20">'Bestellungen'!D18</f>
        <v>10</v>
      </c>
      <c r="D20" t="str" s="28" cm="1">
        <f t="array" ref="D20">INDEX('Stammdaten_Artikel'!$B$4:$B$23,MATCH($B20,'Stammdaten_Artikel'!$A$4:$A$23,0))</f>
        <v>Headset</v>
      </c>
      <c r="E20" t="str" s="28" cm="1">
        <f t="array" ref="E20">INDEX('Stammdaten_Artikel'!$C$4:$C$23,MATCH(B20,'Stammdaten_Artikel'!$A$4:$A$23,0))</f>
        <v>Elektronik</v>
      </c>
      <c r="F20" s="55"/>
      <c r="G20" s="53"/>
      <c r="H20" s="53"/>
    </row>
    <row r="21" ht="15.75" customHeight="1">
      <c r="A21" s="56"/>
      <c r="B21" s="56"/>
      <c r="C21" s="56"/>
      <c r="D21" s="56"/>
      <c r="E21" s="56"/>
      <c r="F21" s="53"/>
      <c r="G21" s="53"/>
      <c r="H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</row>
    <row r="25" ht="19.25" customHeight="1">
      <c r="A25" s="43"/>
      <c r="B25" s="44"/>
      <c r="C25" s="44"/>
      <c r="D25" s="44"/>
      <c r="E25" s="44"/>
      <c r="F25" s="44"/>
      <c r="G25" s="44"/>
      <c r="H25" s="45"/>
    </row>
    <row r="26" ht="27.7" customHeight="1">
      <c r="A26" s="46"/>
      <c r="B26" s="47"/>
      <c r="C26" s="47"/>
      <c r="D26" s="47"/>
      <c r="E26" s="47"/>
      <c r="F26" s="47"/>
      <c r="G26" s="47"/>
      <c r="H26" s="48"/>
    </row>
    <row r="27" ht="15.75" customHeight="1">
      <c r="A27" s="46"/>
      <c r="B27" s="47"/>
      <c r="C27" s="47"/>
      <c r="D27" s="47"/>
      <c r="E27" s="47"/>
      <c r="F27" s="47"/>
      <c r="G27" s="47"/>
      <c r="H27" s="48"/>
    </row>
    <row r="28" ht="17" customHeight="1">
      <c r="A28" s="46"/>
      <c r="B28" s="47"/>
      <c r="C28" s="47"/>
      <c r="D28" s="47"/>
      <c r="E28" s="47"/>
      <c r="F28" s="47"/>
      <c r="G28" s="47"/>
      <c r="H28" s="48"/>
    </row>
    <row r="29" ht="17" customHeight="1">
      <c r="A29" s="46"/>
      <c r="B29" s="47"/>
      <c r="C29" s="47"/>
      <c r="D29" s="47"/>
      <c r="E29" s="47"/>
      <c r="F29" s="47"/>
      <c r="G29" s="47"/>
      <c r="H29" s="48"/>
    </row>
    <row r="30" ht="15.75" customHeight="1">
      <c r="A30" s="46"/>
      <c r="B30" s="47"/>
      <c r="C30" s="47"/>
      <c r="D30" s="47"/>
      <c r="E30" s="47"/>
      <c r="F30" s="47"/>
      <c r="G30" s="47"/>
      <c r="H30" s="48"/>
    </row>
    <row r="31" ht="15.75" customHeight="1">
      <c r="A31" s="46"/>
      <c r="B31" s="47"/>
      <c r="C31" s="47"/>
      <c r="D31" s="47"/>
      <c r="E31" s="47"/>
      <c r="F31" s="47"/>
      <c r="G31" s="47"/>
      <c r="H31" s="48"/>
    </row>
    <row r="32" ht="17" customHeight="1">
      <c r="A32" s="46"/>
      <c r="B32" s="47"/>
      <c r="C32" s="47"/>
      <c r="D32" s="47"/>
      <c r="E32" s="47"/>
      <c r="F32" s="47"/>
      <c r="G32" s="47"/>
      <c r="H32" s="48"/>
    </row>
    <row r="33" ht="17" customHeight="1">
      <c r="A33" s="49"/>
      <c r="B33" s="50"/>
      <c r="C33" s="50"/>
      <c r="D33" s="50"/>
      <c r="E33" s="50"/>
      <c r="F33" s="50"/>
      <c r="G33" s="50"/>
      <c r="H33" s="51"/>
    </row>
  </sheetData>
  <mergeCells count="1">
    <mergeCell ref="A26:H26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/>
  </sheetViews>
  <sheetFormatPr defaultColWidth="8.66667" defaultRowHeight="15" customHeight="1" outlineLevelRow="0" outlineLevelCol="0"/>
  <cols>
    <col min="1" max="1" width="52.5" style="57" customWidth="1"/>
    <col min="2" max="2" width="5.5" style="57" customWidth="1"/>
    <col min="3" max="3" width="47" style="57" customWidth="1"/>
    <col min="4" max="4" width="19.3516" style="57" customWidth="1"/>
    <col min="5" max="8" width="12" style="57" customWidth="1"/>
    <col min="9" max="16384" width="8.67188" style="57" customWidth="1"/>
  </cols>
  <sheetData>
    <row r="1" ht="24.35" customHeight="1">
      <c r="A1" t="s" s="7">
        <v>216</v>
      </c>
      <c r="B1" s="8"/>
      <c r="C1" s="8"/>
      <c r="D1" s="8"/>
      <c r="E1" s="8"/>
      <c r="F1" s="8"/>
      <c r="G1" s="8"/>
      <c r="H1" s="8"/>
    </row>
    <row r="2" ht="17.8" customHeight="1">
      <c r="A2" s="8"/>
      <c r="B2" s="8"/>
      <c r="C2" s="8"/>
      <c r="D2" s="8"/>
      <c r="E2" s="8"/>
      <c r="F2" s="8"/>
      <c r="G2" s="8"/>
      <c r="H2" s="8"/>
    </row>
    <row r="3" ht="21.8" customHeight="1">
      <c r="A3" t="s" s="24">
        <v>217</v>
      </c>
      <c r="B3" s="8"/>
      <c r="C3" s="8"/>
      <c r="D3" s="8"/>
      <c r="E3" s="8"/>
      <c r="F3" s="8"/>
      <c r="G3" s="8"/>
      <c r="H3" s="8"/>
    </row>
    <row r="4" ht="17.8" customHeight="1">
      <c r="A4" s="9"/>
      <c r="B4" s="8"/>
      <c r="C4" s="9"/>
      <c r="D4" s="8"/>
      <c r="E4" s="8"/>
      <c r="F4" s="8"/>
      <c r="G4" s="8"/>
      <c r="H4" s="8"/>
    </row>
    <row r="5" ht="19.2" customHeight="1">
      <c r="A5" t="s" s="11">
        <v>218</v>
      </c>
      <c r="B5" s="25"/>
      <c r="C5" t="s" s="58">
        <v>50</v>
      </c>
      <c r="D5" s="14"/>
      <c r="E5" s="8"/>
      <c r="F5" s="8"/>
      <c r="G5" s="8"/>
      <c r="H5" s="8"/>
    </row>
    <row r="6" ht="19.2" customHeight="1">
      <c r="A6" t="s" s="11">
        <v>219</v>
      </c>
      <c r="B6" s="25"/>
      <c r="C6" t="str" s="28" cm="1">
        <f t="array" ref="C6">_xlfn.XLOOKUP(C5,'Stammdaten_Artikel'!$B$4:$B$23,'Stammdaten_Artikel'!$A$4:$A$23)</f>
        <v>A012</v>
      </c>
      <c r="D6" s="14"/>
      <c r="E6" s="8"/>
      <c r="F6" s="8"/>
      <c r="G6" s="8"/>
      <c r="H6" s="8"/>
    </row>
    <row r="7" ht="17.8" customHeight="1">
      <c r="A7" s="32"/>
      <c r="B7" s="8"/>
      <c r="C7" s="32"/>
      <c r="D7" s="8"/>
      <c r="E7" s="8"/>
      <c r="F7" s="8"/>
      <c r="G7" s="8"/>
      <c r="H7" s="8"/>
    </row>
    <row r="8" ht="17.8" customHeight="1">
      <c r="A8" s="9"/>
      <c r="B8" s="8"/>
      <c r="C8" s="9"/>
      <c r="D8" s="8"/>
      <c r="E8" s="8"/>
      <c r="F8" s="8"/>
      <c r="G8" s="8"/>
      <c r="H8" s="8"/>
    </row>
    <row r="9" ht="19.2" customHeight="1">
      <c r="A9" t="s" s="11">
        <v>218</v>
      </c>
      <c r="B9" s="25"/>
      <c r="C9" t="s" s="58">
        <v>41</v>
      </c>
      <c r="D9" s="14"/>
      <c r="E9" s="8"/>
      <c r="F9" s="8"/>
      <c r="G9" s="8"/>
      <c r="H9" s="8"/>
    </row>
    <row r="10" ht="19.2" customHeight="1">
      <c r="A10" t="s" s="11">
        <v>221</v>
      </c>
      <c r="B10" s="25"/>
      <c r="C10" t="s" s="59">
        <v>222</v>
      </c>
      <c r="D10" s="14"/>
      <c r="E10" s="8"/>
      <c r="F10" s="8"/>
      <c r="G10" s="8"/>
      <c r="H10" s="8"/>
    </row>
    <row r="11" ht="17.8" customHeight="1">
      <c r="A11" s="32"/>
      <c r="B11" s="8"/>
      <c r="C11" s="32"/>
      <c r="D11" s="8"/>
      <c r="E11" s="8"/>
      <c r="F11" s="8"/>
      <c r="G11" s="8"/>
      <c r="H11" s="8"/>
    </row>
    <row r="12" ht="17.8" customHeight="1">
      <c r="A12" s="8"/>
      <c r="B12" s="8"/>
      <c r="C12" s="8"/>
      <c r="D12" s="8"/>
      <c r="E12" s="8"/>
      <c r="F12" s="8"/>
      <c r="G12" s="8"/>
      <c r="H12" s="8"/>
    </row>
    <row r="13" ht="21.8" customHeight="1">
      <c r="A13" t="s" s="24">
        <v>223</v>
      </c>
      <c r="B13" s="8"/>
      <c r="C13" s="8"/>
      <c r="D13" s="8"/>
      <c r="E13" s="8"/>
      <c r="F13" s="8"/>
      <c r="G13" s="8"/>
      <c r="H13" s="8"/>
    </row>
    <row r="14" ht="17.8" customHeight="1">
      <c r="A14" s="9"/>
      <c r="B14" s="8"/>
      <c r="C14" s="9"/>
      <c r="D14" s="8"/>
      <c r="E14" s="8"/>
      <c r="F14" s="8"/>
      <c r="G14" s="8"/>
      <c r="H14" s="8"/>
    </row>
    <row r="15" ht="19.2" customHeight="1">
      <c r="A15" t="s" s="11">
        <v>224</v>
      </c>
      <c r="B15" s="25"/>
      <c r="C15" t="s" s="58">
        <v>225</v>
      </c>
      <c r="D15" s="14"/>
      <c r="E15" s="8"/>
      <c r="F15" s="8"/>
      <c r="G15" s="8"/>
      <c r="H15" s="8"/>
    </row>
    <row r="16" ht="19.2" customHeight="1">
      <c r="A16" t="s" s="11">
        <v>226</v>
      </c>
      <c r="B16" s="25"/>
      <c r="C16" t="str" s="28" cm="1">
        <f t="array" ref="C16">_xlfn.XLOOKUP(C15,'Stammdaten_Artikel'!$A$4:$A$23,'Stammdaten_Artikel'!$B$4:$B$23,"Artikel nicht im Stamm gefunden")</f>
        <v>Artikel nicht im Stamm gefunden</v>
      </c>
      <c r="D16" s="14"/>
      <c r="E16" s="8"/>
      <c r="F16" s="8"/>
      <c r="G16" s="8"/>
      <c r="H16" s="8"/>
    </row>
    <row r="17" ht="17.8" customHeight="1">
      <c r="A17" s="32"/>
      <c r="B17" s="8"/>
      <c r="C17" s="32"/>
      <c r="D17" s="8"/>
      <c r="E17" s="8"/>
      <c r="F17" s="8"/>
      <c r="G17" s="8"/>
      <c r="H17" s="8"/>
    </row>
    <row r="18" ht="17.8" customHeight="1">
      <c r="A18" s="8"/>
      <c r="B18" s="8"/>
      <c r="C18" s="8"/>
      <c r="D18" s="8"/>
      <c r="E18" s="8"/>
      <c r="F18" s="8"/>
      <c r="G18" s="8"/>
      <c r="H18" s="8"/>
    </row>
    <row r="19" ht="21.8" customHeight="1">
      <c r="A19" t="s" s="24">
        <v>228</v>
      </c>
      <c r="B19" s="8"/>
      <c r="C19" s="8"/>
      <c r="D19" s="8"/>
      <c r="E19" s="8"/>
      <c r="F19" s="8"/>
      <c r="G19" s="8"/>
      <c r="H19" s="8"/>
    </row>
    <row r="20" ht="17.8" customHeight="1">
      <c r="A20" s="9"/>
      <c r="B20" s="8"/>
      <c r="C20" s="9"/>
      <c r="D20" s="8"/>
      <c r="E20" s="8"/>
      <c r="F20" s="8"/>
      <c r="G20" s="8"/>
      <c r="H20" s="8"/>
    </row>
    <row r="21" ht="19.2" customHeight="1">
      <c r="A21" t="s" s="11">
        <v>229</v>
      </c>
      <c r="B21" s="25"/>
      <c r="C21" t="s" s="58">
        <v>13</v>
      </c>
      <c r="D21" s="14"/>
      <c r="E21" s="8"/>
      <c r="F21" s="8"/>
      <c r="G21" s="8"/>
      <c r="H21" s="8"/>
    </row>
    <row r="22" ht="19.2" customHeight="1">
      <c r="A22" t="s" s="11">
        <v>230</v>
      </c>
      <c r="B22" s="25"/>
      <c r="C22" t="str" s="28" cm="1">
        <f t="array" ref="C22">_xlfn.XLOOKUP(C21,'Bestellungen'!$B$4:$B$43,'Bestellungen'!$F$4:$F$43,"keine Bestellung gefunden",0,-1)</f>
        <v>Offen</v>
      </c>
      <c r="D22" s="14"/>
      <c r="E22" s="8"/>
      <c r="F22" s="8"/>
      <c r="G22" s="8"/>
      <c r="H22" s="8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